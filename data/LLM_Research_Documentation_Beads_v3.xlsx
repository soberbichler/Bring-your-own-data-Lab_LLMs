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lauren.coetzee/Downloads/"/>
    </mc:Choice>
  </mc:AlternateContent>
  <xr:revisionPtr revIDLastSave="0" documentId="13_ncr:1_{6EACA8D2-965C-424E-BC9B-6D6411BA4ED8}" xr6:coauthVersionLast="47" xr6:coauthVersionMax="47" xr10:uidLastSave="{00000000-0000-0000-0000-000000000000}"/>
  <bookViews>
    <workbookView xWindow="0" yWindow="660" windowWidth="30240" windowHeight="17880" tabRatio="500" activeTab="4" xr2:uid="{00000000-000D-0000-FFFF-FFFF00000000}"/>
  </bookViews>
  <sheets>
    <sheet name="How To Use" sheetId="1" r:id="rId1"/>
    <sheet name="Experiment Log" sheetId="2" r:id="rId2"/>
    <sheet name="Prompt Library" sheetId="3" r:id="rId3"/>
    <sheet name="Model Reference" sheetId="4" r:id="rId4"/>
    <sheet name="Summary Dashboard"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5" l="1"/>
  <c r="C26" i="5"/>
  <c r="C25" i="5"/>
  <c r="C22" i="5"/>
  <c r="C21" i="5"/>
  <c r="C20" i="5"/>
  <c r="C19" i="5"/>
  <c r="C16" i="5"/>
  <c r="C15" i="5"/>
  <c r="C13" i="5"/>
  <c r="C6" i="5"/>
  <c r="C5" i="5"/>
  <c r="AB54" i="2"/>
  <c r="Z54" i="2"/>
  <c r="AB53" i="2"/>
  <c r="Z53" i="2"/>
  <c r="AB52" i="2"/>
  <c r="Z52" i="2"/>
  <c r="AB51" i="2"/>
  <c r="Z51" i="2"/>
  <c r="AB50" i="2"/>
  <c r="Z50" i="2"/>
  <c r="AB49" i="2"/>
  <c r="Z49" i="2"/>
  <c r="AB48" i="2"/>
  <c r="Z48" i="2"/>
  <c r="AB47" i="2"/>
  <c r="Z47" i="2"/>
  <c r="AB46" i="2"/>
  <c r="Z46" i="2"/>
  <c r="AB45" i="2"/>
  <c r="Z45" i="2"/>
  <c r="AB44" i="2"/>
  <c r="Z44" i="2"/>
  <c r="AB43" i="2"/>
  <c r="Z43" i="2"/>
  <c r="AB42" i="2"/>
  <c r="Z42" i="2"/>
  <c r="AB41" i="2"/>
  <c r="Z41" i="2"/>
  <c r="AB40" i="2"/>
  <c r="Z40" i="2"/>
  <c r="AB39" i="2"/>
  <c r="Z39" i="2"/>
  <c r="AB38" i="2"/>
  <c r="Z38" i="2"/>
  <c r="AB37" i="2"/>
  <c r="Z37" i="2"/>
  <c r="AB36" i="2"/>
  <c r="Z36" i="2"/>
  <c r="AB35" i="2"/>
  <c r="Z35" i="2"/>
  <c r="AB34" i="2"/>
  <c r="Z34" i="2"/>
  <c r="AB33" i="2"/>
  <c r="Z33" i="2"/>
  <c r="AB32" i="2"/>
  <c r="Z32" i="2"/>
  <c r="AB31" i="2"/>
  <c r="Z31" i="2"/>
  <c r="AB30" i="2"/>
  <c r="Z30" i="2"/>
  <c r="AB29" i="2"/>
  <c r="Z29" i="2"/>
  <c r="AB28" i="2"/>
  <c r="Z28" i="2"/>
  <c r="AB27" i="2"/>
  <c r="Z27" i="2"/>
  <c r="AB26" i="2"/>
  <c r="Z26" i="2"/>
  <c r="AB25" i="2"/>
  <c r="Z25" i="2"/>
  <c r="AB24" i="2"/>
  <c r="Z24" i="2"/>
  <c r="AB23" i="2"/>
  <c r="Z23" i="2"/>
  <c r="AB22" i="2"/>
  <c r="Z22" i="2"/>
  <c r="AB21" i="2"/>
  <c r="Z21" i="2"/>
  <c r="AB20" i="2"/>
  <c r="Z20" i="2"/>
  <c r="AB19" i="2"/>
  <c r="Z19" i="2"/>
  <c r="AB18" i="2"/>
  <c r="Z18" i="2"/>
  <c r="AB17" i="2"/>
  <c r="Z17" i="2"/>
  <c r="AB16" i="2"/>
  <c r="Z16" i="2"/>
  <c r="AB15" i="2"/>
  <c r="Z15" i="2"/>
  <c r="AB14" i="2"/>
  <c r="Z14" i="2"/>
  <c r="AB13" i="2"/>
  <c r="Z13" i="2"/>
  <c r="AB12" i="2"/>
  <c r="Z12" i="2"/>
  <c r="AB11" i="2"/>
  <c r="Z11" i="2"/>
  <c r="AB10" i="2"/>
  <c r="C10" i="5" s="1"/>
  <c r="Z10" i="2"/>
  <c r="AB9" i="2"/>
  <c r="Z9" i="2"/>
  <c r="AB8" i="2"/>
  <c r="Z8" i="2"/>
  <c r="AB7" i="2"/>
  <c r="Z7" i="2"/>
  <c r="AB6" i="2"/>
  <c r="Z6" i="2"/>
  <c r="AB5" i="2"/>
  <c r="Z5" i="2"/>
  <c r="AB4" i="2"/>
  <c r="C9" i="5" s="1"/>
  <c r="Z4" i="2"/>
  <c r="C1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100-000001000000}">
      <text>
        <r>
          <rPr>
            <sz val="10"/>
            <rFont val="Arial"/>
            <family val="2"/>
          </rPr>
          <t>Unique identifier for this run. Format: R001, R002…</t>
        </r>
      </text>
    </comment>
    <comment ref="B2" authorId="0" shapeId="0" xr:uid="{00000000-0006-0000-0100-000002000000}">
      <text>
        <r>
          <rPr>
            <sz val="10"/>
            <rFont val="Arial"/>
            <family val="2"/>
          </rPr>
          <t>Date and time you started this run. Format: YYYY-MM-DD HH:MM</t>
        </r>
      </text>
    </comment>
    <comment ref="C2" authorId="0" shapeId="0" xr:uid="{00000000-0006-0000-0100-000003000000}">
      <text>
        <r>
          <rPr>
            <sz val="10"/>
            <rFont val="Arial"/>
            <family val="2"/>
          </rPr>
          <t>How long the model took to respond, in minutes.</t>
        </r>
      </text>
    </comment>
    <comment ref="D2" authorId="0" shapeId="0" xr:uid="{00000000-0006-0000-0100-000004000000}">
      <text>
        <r>
          <rPr>
            <sz val="10"/>
            <rFont val="Arial"/>
            <family val="2"/>
          </rPr>
          <t>Your name or initials.</t>
        </r>
      </text>
    </comment>
    <comment ref="E2" authorId="0" shapeId="0" xr:uid="{00000000-0006-0000-0100-000005000000}">
      <text>
        <r>
          <rPr>
            <sz val="10"/>
            <rFont val="Arial"/>
            <family val="2"/>
          </rPr>
          <t>The specific question or task this experiment is trying to answer or accomplish.</t>
        </r>
      </text>
    </comment>
    <comment ref="F2" authorId="0" shapeId="0" xr:uid="{00000000-0006-0000-0100-000006000000}">
      <text>
        <r>
          <rPr>
            <sz val="10"/>
            <rFont val="Arial"/>
            <family val="2"/>
          </rPr>
          <t>Which iteration of this experiment is this? Start at 1. Increment when changing anything.</t>
        </r>
      </text>
    </comment>
    <comment ref="G2" authorId="0" shapeId="0" xr:uid="{00000000-0006-0000-0100-000007000000}">
      <text>
        <r>
          <rPr>
            <sz val="10"/>
            <rFont val="Arial"/>
            <family val="2"/>
          </rPr>
          <t>Full model name, e.g. gpt-4o-2024-08-06, claude-3-5-sonnet-20241022, llama3.1:8b</t>
        </r>
      </text>
    </comment>
    <comment ref="H2" authorId="0" shapeId="0" xr:uid="{00000000-0006-0000-0100-000008000000}">
      <text>
        <r>
          <rPr>
            <sz val="10"/>
            <rFont val="Arial"/>
            <family val="2"/>
          </rPr>
          <t>Open = weights are publicly available. Closed = proprietary / weights not released.</t>
        </r>
      </text>
    </comment>
    <comment ref="I2" authorId="0" shapeId="0" xr:uid="{00000000-0006-0000-0100-000009000000}">
      <text>
        <r>
          <rPr>
            <sz val="10"/>
            <rFont val="Arial"/>
            <family val="2"/>
          </rPr>
          <t>Cloud = API call to a remote server. Local = model running on your own machine.</t>
        </r>
      </text>
    </comment>
    <comment ref="J2" authorId="0" shapeId="0" xr:uid="{00000000-0006-0000-0100-00000A000000}">
      <text>
        <r>
          <rPr>
            <sz val="10"/>
            <rFont val="Arial"/>
            <family val="2"/>
          </rPr>
          <t>E.g. OpenAI, Anthropic, Google, Mistral, Ollama, LM Studio, HuggingFace Inference…</t>
        </r>
      </text>
    </comment>
    <comment ref="K2" authorId="0" shapeId="0" xr:uid="{00000000-0006-0000-0100-00000B000000}">
      <text>
        <r>
          <rPr>
            <sz val="10"/>
            <rFont val="Arial"/>
            <family val="2"/>
          </rPr>
          <t>The API version or endpoint used, e.g. v1, v2, /chat/completions. Helps reproducibility.</t>
        </r>
      </text>
    </comment>
    <comment ref="L2" authorId="0" shapeId="0" xr:uid="{00000000-0006-0000-0100-00000C000000}">
      <text>
        <r>
          <rPr>
            <sz val="10"/>
            <rFont val="Arial"/>
            <family val="2"/>
          </rPr>
          <t>Randomness setting. 0 = deterministic, 1 = creative. Typical range: 0–2.</t>
        </r>
      </text>
    </comment>
    <comment ref="M2" authorId="0" shapeId="0" xr:uid="{00000000-0006-0000-0100-00000D000000}">
      <text>
        <r>
          <rPr>
            <sz val="10"/>
            <rFont val="Arial"/>
            <family val="2"/>
          </rPr>
          <t>Nucleus sampling. 1.0 = no restriction. 0.9 = top 90% probability mass. Default: 1.0</t>
        </r>
      </text>
    </comment>
    <comment ref="N2" authorId="0" shapeId="0" xr:uid="{00000000-0006-0000-0100-00000E000000}">
      <text>
        <r>
          <rPr>
            <sz val="10"/>
            <rFont val="Arial"/>
            <family val="2"/>
          </rPr>
          <t>Limits token selection to top K candidates. Leave blank if using default.</t>
        </r>
      </text>
    </comment>
    <comment ref="O2" authorId="0" shapeId="0" xr:uid="{00000000-0006-0000-0100-00000F000000}">
      <text>
        <r>
          <rPr>
            <sz val="10"/>
            <rFont val="Arial"/>
            <family val="2"/>
          </rPr>
          <t>Maximum number of tokens the model is allowed to generate in its response.</t>
        </r>
      </text>
    </comment>
    <comment ref="P2" authorId="0" shapeId="0" xr:uid="{00000000-0006-0000-0100-000010000000}">
      <text>
        <r>
          <rPr>
            <sz val="10"/>
            <rFont val="Arial"/>
            <family val="2"/>
          </rPr>
          <t>Discourages repetition of the same words. Range: -2.0 to 2.0. Default: 0.</t>
        </r>
      </text>
    </comment>
    <comment ref="Q2" authorId="0" shapeId="0" xr:uid="{00000000-0006-0000-0100-000011000000}">
      <text>
        <r>
          <rPr>
            <sz val="10"/>
            <rFont val="Arial"/>
            <family val="2"/>
          </rPr>
          <t>Encourages the model to talk about new topics. Range: -2.0 to 2.0. Default: 0.</t>
        </r>
      </text>
    </comment>
    <comment ref="R2" authorId="0" shapeId="0" xr:uid="{00000000-0006-0000-0100-000012000000}">
      <text>
        <r>
          <rPr>
            <sz val="10"/>
            <rFont val="Arial"/>
            <family val="2"/>
          </rPr>
          <t>Fixed random seed for reproducibility. Leave blank if unsupported or not used.</t>
        </r>
      </text>
    </comment>
    <comment ref="S2" authorId="0" shapeId="0" xr:uid="{00000000-0006-0000-0100-000013000000}">
      <text>
        <r>
          <rPr>
            <sz val="10"/>
            <rFont val="Arial"/>
            <family val="2"/>
          </rPr>
          <t>Tokens that tell the model to stop generating. E.g. '\n\n' or 'END'.</t>
        </r>
      </text>
    </comment>
    <comment ref="T2" authorId="0" shapeId="0" xr:uid="{00000000-0006-0000-0100-000014000000}">
      <text>
        <r>
          <rPr>
            <sz val="10"/>
            <rFont val="Arial"/>
            <family val="2"/>
          </rPr>
          <t>Version ID of the system prompt from your Prompt Library. E.g. SP-01.</t>
        </r>
      </text>
    </comment>
    <comment ref="U2" authorId="0" shapeId="0" xr:uid="{00000000-0006-0000-0100-000015000000}">
      <text>
        <r>
          <rPr>
            <sz val="10"/>
            <rFont val="Arial"/>
            <family val="2"/>
          </rPr>
          <t>Version ID of the user prompt from your Prompt Library. E.g. UP-03.</t>
        </r>
      </text>
    </comment>
    <comment ref="V2" authorId="0" shapeId="0" xr:uid="{00000000-0006-0000-0100-000016000000}">
      <text>
        <r>
          <rPr>
            <sz val="10"/>
            <rFont val="Arial"/>
            <family val="2"/>
          </rPr>
          <t>Describe what you changed from the previous run. E.g. 'Lowered temperature from 0.7 to 0.3'</t>
        </r>
      </text>
    </comment>
    <comment ref="W2" authorId="0" shapeId="0" xr:uid="{00000000-0006-0000-0100-000017000000}">
      <text>
        <r>
          <rPr>
            <sz val="10"/>
            <rFont val="Arial"/>
            <family val="2"/>
          </rPr>
          <t>WHY did you make this change? E.g. 'Output was too random, needed consistency for citation extraction'</t>
        </r>
      </text>
    </comment>
    <comment ref="X2" authorId="0" shapeId="0" xr:uid="{00000000-0006-0000-0100-000018000000}">
      <text>
        <r>
          <rPr>
            <sz val="10"/>
            <rFont val="Arial"/>
            <family val="2"/>
          </rPr>
          <t>Number of tokens in your prompt (system + user). Check your API response or provider dashboard.</t>
        </r>
      </text>
    </comment>
    <comment ref="Y2" authorId="0" shapeId="0" xr:uid="{00000000-0006-0000-0100-000019000000}">
      <text>
        <r>
          <rPr>
            <sz val="10"/>
            <rFont val="Arial"/>
            <family val="2"/>
          </rPr>
          <t>Number of tokens in the model's response.</t>
        </r>
      </text>
    </comment>
    <comment ref="Z2" authorId="0" shapeId="0" xr:uid="{00000000-0006-0000-0100-00001A000000}">
      <text>
        <r>
          <rPr>
            <sz val="10"/>
            <rFont val="Arial"/>
            <family val="2"/>
          </rPr>
          <t>Auto-calculated: Input + Output tokens.</t>
        </r>
      </text>
    </comment>
    <comment ref="AA2" authorId="0" shapeId="0" xr:uid="{00000000-0006-0000-0100-00001B000000}">
      <text>
        <r>
          <rPr>
            <sz val="10"/>
            <rFont val="Arial"/>
            <family val="2"/>
          </rPr>
          <t>Cost of this single run in USD. Check your API billing or use the Model Reference sheet for rates.</t>
        </r>
      </text>
    </comment>
    <comment ref="AB2" authorId="0" shapeId="0" xr:uid="{00000000-0006-0000-0100-00001C000000}">
      <text>
        <r>
          <rPr>
            <sz val="10"/>
            <rFont val="Arial"/>
            <family val="2"/>
          </rPr>
          <t>Auto-calculated: running total of all costs so far in this sheet.</t>
        </r>
      </text>
    </comment>
    <comment ref="AC2" authorId="0" shapeId="0" xr:uid="{00000000-0006-0000-0100-00001D000000}">
      <text>
        <r>
          <rPr>
            <sz val="10"/>
            <rFont val="Arial"/>
            <family val="2"/>
          </rPr>
          <t>Paste the model output here, or a clear summary. For long outputs, store in a file and note the path.</t>
        </r>
      </text>
    </comment>
    <comment ref="AD2" authorId="0" shapeId="0" xr:uid="{00000000-0006-0000-0100-00001E000000}">
      <text>
        <r>
          <rPr>
            <sz val="10"/>
            <rFont val="Arial"/>
            <family val="2"/>
          </rPr>
          <t>If you saved the output to a file, paste the path or URL here.</t>
        </r>
      </text>
    </comment>
    <comment ref="AE2" authorId="0" shapeId="0" xr:uid="{00000000-0006-0000-0100-00001F000000}">
      <text>
        <r>
          <rPr>
            <sz val="10"/>
            <rFont val="Arial"/>
            <family val="2"/>
          </rPr>
          <t>What did you expect or hope to see? This helps evaluate whether the experiment succeeded.</t>
        </r>
      </text>
    </comment>
    <comment ref="AF2" authorId="0" shapeId="0" xr:uid="{00000000-0006-0000-0100-000020000000}">
      <text>
        <r>
          <rPr>
            <sz val="10"/>
            <rFont val="Arial"/>
            <family val="2"/>
          </rPr>
          <t>Rate the output: 1=Poor, 2=Below avg, 3=Acceptable, 4=Good, 5=Excellent</t>
        </r>
      </text>
    </comment>
    <comment ref="AG2" authorId="0" shapeId="0" xr:uid="{00000000-0006-0000-0100-000021000000}">
      <text>
        <r>
          <rPr>
            <sz val="10"/>
            <rFont val="Arial"/>
            <family val="2"/>
          </rPr>
          <t>Did this run meet your research criteria? Yes / Partial / No</t>
        </r>
      </text>
    </comment>
    <comment ref="AH2" authorId="0" shapeId="0" xr:uid="{00000000-0006-0000-0100-000022000000}">
      <text>
        <r>
          <rPr>
            <sz val="10"/>
            <rFont val="Arial"/>
            <family val="2"/>
          </rPr>
          <t>What worked well? What failed? Any surprising outputs?</t>
        </r>
      </text>
    </comment>
    <comment ref="AI2" authorId="0" shapeId="0" xr:uid="{00000000-0006-0000-0100-000023000000}">
      <text>
        <r>
          <rPr>
            <sz val="10"/>
            <rFont val="Arial"/>
            <family val="2"/>
          </rPr>
          <t>How did this run's result change your thinking or next steps?</t>
        </r>
      </text>
    </comment>
    <comment ref="AJ2" authorId="0" shapeId="0" xr:uid="{00000000-0006-0000-0100-000024000000}">
      <text>
        <r>
          <rPr>
            <sz val="10"/>
            <rFont val="Arial"/>
            <family val="2"/>
          </rPr>
          <t>Did the model state anything factually incorrect with confidence? Yes / No / Unsure</t>
        </r>
      </text>
    </comment>
    <comment ref="AK2" authorId="0" shapeId="0" xr:uid="{00000000-0006-0000-0100-000025000000}">
      <text>
        <r>
          <rPr>
            <sz val="10"/>
            <rFont val="Arial"/>
            <family val="2"/>
          </rPr>
          <t>Any noticeable bias in the output (gender, cultural, political, etc.)? Describe briefly.</t>
        </r>
      </text>
    </comment>
    <comment ref="AL2" authorId="0" shapeId="0" xr:uid="{00000000-0006-0000-0100-000026000000}">
      <text>
        <r>
          <rPr>
            <sz val="10"/>
            <rFont val="Arial"/>
            <family val="2"/>
          </rPr>
          <t>Did your prompt contain personal, confidential, or sensitive data? Yes / No. Note any concerns.</t>
        </r>
      </text>
    </comment>
    <comment ref="AM2" authorId="0" shapeId="0" xr:uid="{00000000-0006-0000-0100-000027000000}">
      <text>
        <r>
          <rPr>
            <sz val="10"/>
            <rFont val="Arial"/>
            <family val="2"/>
          </rPr>
          <t>Limitations, ethical concerns, or methodological caveats for this run.</t>
        </r>
      </text>
    </comment>
    <comment ref="AN2" authorId="0" shapeId="0" xr:uid="{00000000-0006-0000-0100-000028000000}">
      <text>
        <r>
          <rPr>
            <sz val="10"/>
            <rFont val="Arial"/>
            <family val="2"/>
          </rPr>
          <t>Comma-separated tags for filtering later. E.g. 'summarisation, few-shot, v2-prompt'</t>
        </r>
      </text>
    </comment>
    <comment ref="AO2" authorId="0" shapeId="0" xr:uid="{00000000-0006-0000-0100-000029000000}">
      <text>
        <r>
          <rPr>
            <sz val="10"/>
            <rFont val="Arial"/>
            <family val="2"/>
          </rPr>
          <t>What will you do next based on this result? E.g. 'Try few-shot examples', 'Increase max_tokens'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200-000001000000}">
      <text>
        <r>
          <rPr>
            <sz val="10"/>
            <rFont val="Arial"/>
            <family val="2"/>
          </rPr>
          <t>Unique ID. Format: SP-01 (system), UP-01 (user). Increment for each change.</t>
        </r>
      </text>
    </comment>
    <comment ref="B2" authorId="0" shapeId="0" xr:uid="{00000000-0006-0000-0200-000002000000}">
      <text>
        <r>
          <rPr>
            <sz val="10"/>
            <rFont val="Arial"/>
            <family val="2"/>
          </rPr>
          <t>System Prompt or User Prompt</t>
        </r>
      </text>
    </comment>
    <comment ref="C2" authorId="0" shapeId="0" xr:uid="{00000000-0006-0000-0200-000003000000}">
      <text>
        <r>
          <rPr>
            <sz val="10"/>
            <rFont val="Arial"/>
            <family val="2"/>
          </rPr>
          <t>When this version was written. YYYY-MM-DD</t>
        </r>
      </text>
    </comment>
    <comment ref="D2" authorId="0" shapeId="0" xr:uid="{00000000-0006-0000-0200-000004000000}">
      <text>
        <r>
          <rPr>
            <sz val="10"/>
            <rFont val="Arial"/>
            <family val="2"/>
          </rPr>
          <t>Researcher name or initials.</t>
        </r>
      </text>
    </comment>
    <comment ref="E2" authorId="0" shapeId="0" xr:uid="{00000000-0006-0000-0200-000005000000}">
      <text>
        <r>
          <rPr>
            <sz val="10"/>
            <rFont val="Arial"/>
            <family val="2"/>
          </rPr>
          <t>Full text of the prompt. Paste exactly as sent to the model.</t>
        </r>
      </text>
    </comment>
    <comment ref="F2" authorId="0" shapeId="0" xr:uid="{00000000-0006-0000-0200-000006000000}">
      <text>
        <r>
          <rPr>
            <sz val="10"/>
            <rFont val="Arial"/>
            <family val="2"/>
          </rPr>
          <t>What is different from the previous version? Be specific.</t>
        </r>
      </text>
    </comment>
    <comment ref="G2" authorId="0" shapeId="0" xr:uid="{00000000-0006-0000-0200-000007000000}">
      <text>
        <r>
          <rPr>
            <sz val="10"/>
            <rFont val="Arial"/>
            <family val="2"/>
          </rPr>
          <t>Why was this change made?</t>
        </r>
      </text>
    </comment>
    <comment ref="H2" authorId="0" shapeId="0" xr:uid="{00000000-0006-0000-0200-000008000000}">
      <text>
        <r>
          <rPr>
            <sz val="10"/>
            <rFont val="Arial"/>
            <family val="2"/>
          </rPr>
          <t>Comma-separated Run IDs where this prompt version was used. E.g. R001, R002</t>
        </r>
      </text>
    </comment>
    <comment ref="I2" authorId="0" shapeId="0" xr:uid="{00000000-0006-0000-0200-000009000000}">
      <text>
        <r>
          <rPr>
            <sz val="10"/>
            <rFont val="Arial"/>
            <family val="2"/>
          </rPr>
          <t>Active = currently in use. Retired = replaced. Draft = not yet tested.</t>
        </r>
      </text>
    </comment>
  </commentList>
</comments>
</file>

<file path=xl/sharedStrings.xml><?xml version="1.0" encoding="utf-8"?>
<sst xmlns="http://schemas.openxmlformats.org/spreadsheetml/2006/main" count="1039" uniqueCount="564">
  <si>
    <t>LLM Research Documentation Template</t>
  </si>
  <si>
    <t>A beginner-friendly log for transparent, reproducible AI research</t>
  </si>
  <si>
    <t>What this template is for</t>
  </si>
  <si>
    <t>Purpose</t>
  </si>
  <si>
    <t>This workbook helps you document every step of your LLM experiments so that you (and others) can understand exactly what you did, why you did it, and what happened. Good documentation is the foundation of trustworthy research.</t>
  </si>
  <si>
    <t>Who it is for</t>
  </si>
  <si>
    <t>Beginners and intermediate researchers working with any LLM — cloud APIs (OpenAI, Anthropic, Google, Mistral…), local models (Ollama, LM Studio, llama.cpp…), or open-weight models on HuggingFace.</t>
  </si>
  <si>
    <t>Core principle</t>
  </si>
  <si>
    <t>If someone else read your log, could they reproduce your experiment? That is the standard to aim for.</t>
  </si>
  <si>
    <t>Sheets in this workbook</t>
  </si>
  <si>
    <t>How To Use</t>
  </si>
  <si>
    <t>This guide — read first.</t>
  </si>
  <si>
    <t>Experiment Log</t>
  </si>
  <si>
    <t>Your main logging sheet. One row = one experiment run. Fill in every column.</t>
  </si>
  <si>
    <t>Prompt Library</t>
  </si>
  <si>
    <t>Store and version your prompts here. Reference them from the Experiment Log.</t>
  </si>
  <si>
    <t>Model Reference</t>
  </si>
  <si>
    <t>A lookup table of common models, their parameters, and rough pricing.</t>
  </si>
  <si>
    <t>Summary Dashboard</t>
  </si>
  <si>
    <t>Auto-calculated stats. Do not edit manually — it updates as you log experiments.</t>
  </si>
  <si>
    <t>Step-by-step workflow</t>
  </si>
  <si>
    <t>Step 1 — Before you start</t>
  </si>
  <si>
    <t>Write your research question in the Experiment Log header. Draft your prompt(s) in the Prompt Library and give each one a version number (e.g. SP-01, UP-01).</t>
  </si>
  <si>
    <t>Step 2 — Choose your model &amp; settings</t>
  </si>
  <si>
    <t>Consult the Model Reference sheet to understand the model's parameters. Note the model name, version, temperature, top-p, and seed before running.</t>
  </si>
  <si>
    <t>Step 3 — Run your experiment</t>
  </si>
  <si>
    <t>Run the model with your chosen settings. Time-stamp the run. Copy or summarise the output in the Experiment Log.</t>
  </si>
  <si>
    <t>Step 4 — Evaluate the output</t>
  </si>
  <si>
    <t>Rate the quality (1–5). Note what worked, what did not. Record any bias, hallucinations, or ethical concerns observed.</t>
  </si>
  <si>
    <t>Step 5 — Document changes</t>
  </si>
  <si>
    <t>If you change anything — prompt, temperature, model — log it as a NEW row. Write the rationale ('why did I change this?') and the observed impact.</t>
  </si>
  <si>
    <t>Step 6 — Review the Dashboard</t>
  </si>
  <si>
    <t>Check the Summary Dashboard for cost totals, token usage, and quality trends.</t>
  </si>
  <si>
    <t>Key concepts for beginners</t>
  </si>
  <si>
    <t>Temperature</t>
  </si>
  <si>
    <t>Controls randomness. 0 = very predictable (good for structured tasks). 1+ = more creative/varied. Most research should start at 0 or 0.2 for consistency.</t>
  </si>
  <si>
    <t>Top-p (nucleus sampling)</t>
  </si>
  <si>
    <t>Limits the pool of words the model picks from. 0.9 means the model only considers the top 90% probability words. Use with temperature, not instead of it.</t>
  </si>
  <si>
    <t>Top-k</t>
  </si>
  <si>
    <t>Limits the model to its top K choices at each step. Lower = more focused. Often left at default.</t>
  </si>
  <si>
    <t>Seed</t>
  </si>
  <si>
    <t>A number that fixes the random starting point. Two runs with the same seed, prompt, and settings should produce the same output — this is essential for reproducibility. Not all APIs support seeds.</t>
  </si>
  <si>
    <t>Tokens</t>
  </si>
  <si>
    <t>The units text is split into. Roughly 1 token ≈ 0.75 English words. APIs charge per token (input and output separately). Context window = the maximum tokens the model can 'see' at once.</t>
  </si>
  <si>
    <t>System prompt</t>
  </si>
  <si>
    <t>Instructions given to the model before the user message. Sets tone, role, format, constraints. Changes here can dramatically affect outputs.</t>
  </si>
  <si>
    <t>Prompt versioning</t>
  </si>
  <si>
    <t>Give each distinct prompt a version number (e.g. UP-01, UP-02). This lets you trace which prompt produced which result.</t>
  </si>
  <si>
    <t>Hallucination</t>
  </si>
  <si>
    <t>When an LLM confidently states something false. Always verify factual claims, especially for research outputs.</t>
  </si>
  <si>
    <t>🔖  IDENTIFIERS</t>
  </si>
  <si>
    <t>🤖  MODEL</t>
  </si>
  <si>
    <t>⚙️   PARAMETERS</t>
  </si>
  <si>
    <t>💬  PROMPTS &amp; CHANGES</t>
  </si>
  <si>
    <t>💰  TOKENS &amp; COST</t>
  </si>
  <si>
    <t>📝  OUTPUT &amp; EVALUATION</t>
  </si>
  <si>
    <t>⚠️   ETHICS &amp; FLAGS</t>
  </si>
  <si>
    <t>🏷️   TAGS</t>
  </si>
  <si>
    <t>Run ID</t>
  </si>
  <si>
    <t>Timestamp
(Start)</t>
  </si>
  <si>
    <t>Duration
(mins)</t>
  </si>
  <si>
    <t>Researcher</t>
  </si>
  <si>
    <t>Research
Question</t>
  </si>
  <si>
    <t>Iteration
Number</t>
  </si>
  <si>
    <t>Model Name</t>
  </si>
  <si>
    <t>Model Type
(Open/Closed)</t>
  </si>
  <si>
    <t>Deployment
(Cloud/Local)</t>
  </si>
  <si>
    <t>Provider /
Platform</t>
  </si>
  <si>
    <t>API Version /
Endpoint</t>
  </si>
  <si>
    <t>Top-p</t>
  </si>
  <si>
    <t>Max Tokens
(Output)</t>
  </si>
  <si>
    <t>Frequency
Penalty</t>
  </si>
  <si>
    <t>Presence
Penalty</t>
  </si>
  <si>
    <t>Stop
Sequences</t>
  </si>
  <si>
    <t>System Prompt
Version</t>
  </si>
  <si>
    <t>User Prompt
Version</t>
  </si>
  <si>
    <t>What Changed
(vs. prev.)</t>
  </si>
  <si>
    <t>Rationale for
Change</t>
  </si>
  <si>
    <t>Input
Tokens</t>
  </si>
  <si>
    <t>Output
Tokens</t>
  </si>
  <si>
    <t>Total
Tokens</t>
  </si>
  <si>
    <t>Cost
(USD)</t>
  </si>
  <si>
    <t>Cumulative
Cost (USD)</t>
  </si>
  <si>
    <t>Output Summary
(or Paste Full)</t>
  </si>
  <si>
    <t>Output File
Path / Link</t>
  </si>
  <si>
    <t>Expected
Output</t>
  </si>
  <si>
    <t>Quality
Rating (1-5)</t>
  </si>
  <si>
    <t>Success
Criteria Met?</t>
  </si>
  <si>
    <t>Evaluation
Notes</t>
  </si>
  <si>
    <t>Impact on
Research</t>
  </si>
  <si>
    <t>Hallucinations
Observed?</t>
  </si>
  <si>
    <t>Bias
Observed?</t>
  </si>
  <si>
    <t>Sensitive Data
Used?</t>
  </si>
  <si>
    <t>Ethical /
Methodological Notes</t>
  </si>
  <si>
    <t>Tags /
Keywords</t>
  </si>
  <si>
    <t>Next Action /
Follow-up</t>
  </si>
  <si>
    <t>R001, R002…</t>
  </si>
  <si>
    <t>YYYY-MM-DD HH:MM</t>
  </si>
  <si>
    <t>Your name</t>
  </si>
  <si>
    <t>gpt-4o-mini, llama3.1:8b…</t>
  </si>
  <si>
    <t>Open / Closed</t>
  </si>
  <si>
    <t>Cloud / Local</t>
  </si>
  <si>
    <t>0.0 – 2.0</t>
  </si>
  <si>
    <t>0.0 – 1.0</t>
  </si>
  <si>
    <t>e.g. 40</t>
  </si>
  <si>
    <t>e.g. 2048</t>
  </si>
  <si>
    <t>from API response</t>
  </si>
  <si>
    <t>auto-calculated</t>
  </si>
  <si>
    <t>running total</t>
  </si>
  <si>
    <t>1–5</t>
  </si>
  <si>
    <t>Yes / Partial / No</t>
  </si>
  <si>
    <t>Yes / No / Unsure</t>
  </si>
  <si>
    <t>Yes / No</t>
  </si>
  <si>
    <t>R000-A</t>
  </si>
  <si>
    <t>2024-06-26 ~09:00</t>
  </si>
  <si>
    <t>~30</t>
  </si>
  <si>
    <t>Lauren Coetzee</t>
  </si>
  <si>
    <t>Can an LLM reliably code historical bead exchange observations from the Time Traveller corpus using a structured codebook (Co-DETECT), and what agreement rate is achievable with systematic prompt engineering?</t>
  </si>
  <si>
    <t>0 — Prototype</t>
  </si>
  <si>
    <t>claude-3-haiku-20240307</t>
  </si>
  <si>
    <t>Closed</t>
  </si>
  <si>
    <t>Cloud</t>
  </si>
  <si>
    <t>Anthropic</t>
  </si>
  <si>
    <t>v1 / /v1/messages</t>
  </si>
  <si>
    <t>default</t>
  </si>
  <si>
    <t>~1000</t>
  </si>
  <si>
    <t>SP-PROTO</t>
  </si>
  <si>
    <t>UP-PROTO</t>
  </si>
  <si>
    <t>First prototype</t>
  </si>
  <si>
    <t>Initial feasibility: LLM + codebook from Drive + XML output</t>
  </si>
  <si>
    <t>Tested rows 1–2 from All_entries_beads_shared_RA.xlsx. XML parsed successfully. Proof-of-concept only.</t>
  </si>
  <si>
    <t>Google Colab (local)</t>
  </si>
  <si>
    <t>XML output parseable; structured extraction feasible.</t>
  </si>
  <si>
    <t>2</t>
  </si>
  <si>
    <t>Partial</t>
  </si>
  <si>
    <t>No agreement testing. Scoping run only.</t>
  </si>
  <si>
    <t>Established core architecture: LLM + codebook + XML → DataFrame.</t>
  </si>
  <si>
    <t>Not tested</t>
  </si>
  <si>
    <t>Yes</t>
  </si>
  <si>
    <t>Source corpus contains racialized colonial language. Test sample only.</t>
  </si>
  <si>
    <t>prototype, haiku, XML, Drive, beads</t>
  </si>
  <si>
    <t>Test with Dropbox for portability. Build session-managed pipeline.</t>
  </si>
  <si>
    <t>R000-B</t>
  </si>
  <si>
    <t>2024-06-26 ~11:00</t>
  </si>
  <si>
    <t>0 — Prototype B</t>
  </si>
  <si>
    <t>Dropbox variant — data via wget from Dropbox URLs</t>
  </si>
  <si>
    <t>Testing data portability via shared Dropbox links (beads_extraction_26_June.xlsx + codebook.txt)</t>
  </si>
  <si>
    <t>Same as R000-A but data from Dropbox. XML column named 'xml' vs 'entities' in Drive version — naming inconsistency flagged.</t>
  </si>
  <si>
    <t>bead_extraction_results.xlsx (Colab local)</t>
  </si>
  <si>
    <t>Dropbox-hosted data loads correctly; XML pipeline portable.</t>
  </si>
  <si>
    <t>Codebook still required Drive fallback. XML column naming inconsistency across notebook versions.</t>
  </si>
  <si>
    <t>Confirmed data flexibility. Naming inconsistency → standardise before scale-up.</t>
  </si>
  <si>
    <t>Dropbox shared links expose data URL — not suitable long-term for sensitive data.</t>
  </si>
  <si>
    <t>prototype, haiku, XML, Dropbox, portability</t>
  </si>
  <si>
    <t>Standardise XML column naming. Build session-managed pipeline. Switch to JSON for scale.</t>
  </si>
  <si>
    <t>R001</t>
  </si>
  <si>
    <t>2024-07-01 09:00</t>
  </si>
  <si>
    <t>~120</t>
  </si>
  <si>
    <t>1</t>
  </si>
  <si>
    <t>0.2</t>
  </si>
  <si>
    <t>1.0</t>
  </si>
  <si>
    <t>1000</t>
  </si>
  <si>
    <t>0</t>
  </si>
  <si>
    <t>&lt;/exchange&gt;</t>
  </si>
  <si>
    <t>SP-01</t>
  </si>
  <si>
    <t>UP-01</t>
  </si>
  <si>
    <t>First systematic run — no previous version</t>
  </si>
  <si>
    <t>Haiku for speed/cost. Baseline to identify failure modes before full codebook investment.</t>
  </si>
  <si>
    <t>100 obs test. ~25% human-AI agreement. Critical failure on 4a_exchange: model coded 'xo' where human found no exchange.</t>
  </si>
  <si>
    <t>⚠ Drive MCP not connected — path: CoDetectBeadAnalysis/run001_haiku_baseline.csv</t>
  </si>
  <si>
    <t>Agreement ≥60% on exchange determination.</t>
  </si>
  <si>
    <t>No</t>
  </si>
  <si>
    <t>25% agreement unacceptable. Haiku too liberal on exchange coding; infers from context not explicit verbs.</t>
  </si>
  <si>
    <t>Identified 4a_exchange as highest-impact failure. Triggered full codebook redesign.</t>
  </si>
  <si>
    <t>Yes — hallucinated exchange events</t>
  </si>
  <si>
    <t>Yes — colonial framing in outputs</t>
  </si>
  <si>
    <t>Corpus contains racialized colonial language. Coded variables must be analytically neutral.</t>
  </si>
  <si>
    <t>baseline, haiku-3, Co-DETECT, 25-percent, exchange-coding</t>
  </si>
  <si>
    <t>Redesign codebook with strict conservative rules. Add decision flowchart for 4a_exchange.</t>
  </si>
  <si>
    <t>R002</t>
  </si>
  <si>
    <t>2024-07-18 10:00</t>
  </si>
  <si>
    <t>~180</t>
  </si>
  <si>
    <t>SP-02</t>
  </si>
  <si>
    <t>Added strict 3-criterion rule for 4a_exchange</t>
  </si>
  <si>
    <t>25% from R001 unacceptable. Conservative alignment required to match human coder standard.</t>
  </si>
  <si>
    <t>500 obs. ~40% agreement. Exchange improved to ~38% but over-correcting on bead characteristics.</t>
  </si>
  <si>
    <t>⚠ Drive MCP not connected — path: CoDetectBeadAnalysis/run002_haiku_conservative.csv</t>
  </si>
  <si>
    <t>Agreement ≥60% on 4a_exchange.</t>
  </si>
  <si>
    <t>3</t>
  </si>
  <si>
    <t>Improvement but new failure: over-conservative on characteristics. Haiku capability ceiling reached.</t>
  </si>
  <si>
    <t>Conservative rules alone insufficient. Edge case expert resolution needed. Upgrade to Sonnet.</t>
  </si>
  <si>
    <t>Yes — residual colonial framing</t>
  </si>
  <si>
    <t>Over-attribution of exchanges risks replicating colonial barter narratives.</t>
  </si>
  <si>
    <t>conservative-rules, haiku-3, v2-codebook, 40-percent</t>
  </si>
  <si>
    <t>Upgrade to Sonnet. Develop E1–E5 edge case rules with expert input.</t>
  </si>
  <si>
    <t>R003</t>
  </si>
  <si>
    <t>2024-08-11 09:30</t>
  </si>
  <si>
    <t>~240</t>
  </si>
  <si>
    <t>claude-3-sonnet-20240229</t>
  </si>
  <si>
    <t>SP-03</t>
  </si>
  <si>
    <t>UP-02</t>
  </si>
  <si>
    <t>Model → Sonnet; codebook v3.0 adds E1–E5 expert edge case rules; two-step UP</t>
  </si>
  <si>
    <t>Haiku hit capability ceiling. Sonnet offers stronger reasoning. Edge cases need explicit resolution.</t>
  </si>
  <si>
    <t>800 obs. ~55% agreement. Exchange determination ~52%. Bead characteristics ~65%. Geographic inconsistent.</t>
  </si>
  <si>
    <t>⚠ Drive MCP not connected — path: CoDetectBeadAnalysis/run003_sonnet_edgecases.csv</t>
  </si>
  <si>
    <t>Agreement ≥60% overall; ≥65% on 4a_exchange.</t>
  </si>
  <si>
    <t>55% = 30pp improvement. Sonnet clearly more capable. Two-step UP improved format alignment.</t>
  </si>
  <si>
    <t>55% justifies final expert validation sprint. Two-step extraction approach becomes standard.</t>
  </si>
  <si>
    <t>Yes — agency attribution in exchange descriptions</t>
  </si>
  <si>
    <t>Two-step reformatting reduces risk of LLM generating colonial language about African communities.</t>
  </si>
  <si>
    <t>sonnet, v3-codebook, edge-cases, 55-percent, two-step</t>
  </si>
  <si>
    <t>Expert validation of remaining edge cases. Target v4.0 with all rules locked.</t>
  </si>
  <si>
    <t>R004</t>
  </si>
  <si>
    <t>2024-08-12 10:00</t>
  </si>
  <si>
    <t>4</t>
  </si>
  <si>
    <t>claude-3-5-sonnet-20241022</t>
  </si>
  <si>
    <t>SP-04</t>
  </si>
  <si>
    <t>FINAL VALIDATED v4.0 published Zenodo (DOI: 10.5281/zenodo.14550112). P1–P3 preprocessing + E1–E5 locked.</t>
  </si>
  <si>
    <t>All edge cases systematically resolved. 500-obs validation before production scale-up.</t>
  </si>
  <si>
    <t>500 obs. 73% overall agreement. By category: Exchange 75%, Geographic 72%, Bead characteristics 78%, Cultural 70%.</t>
  </si>
  <si>
    <t>⚠ Drive MCP not connected — path: CoDetectBeadAnalysis/run004_v4_validation.csv</t>
  </si>
  <si>
    <t>≥70% overall agreement across 500 observations.</t>
  </si>
  <si>
    <t>5</t>
  </si>
  <si>
    <t>73% agreement — exceeds 70% threshold. 27% disagreement = ceiling for genuinely ambiguous passages. Codebook archived DOI: 10.5281/zenodo.14550112.</t>
  </si>
  <si>
    <t>Production deployment authorised. Co-DETECT validated as reproducible. Zenodo publication enables community use.</t>
  </si>
  <si>
    <t>Partially — cultural variable coding reflects traveller bias</t>
  </si>
  <si>
    <t>Codebook open on Zenodo. Confidence scores generated; &lt;0.65 flagged. 27% disagreement flagged in all outputs.</t>
  </si>
  <si>
    <t>v4.0, validation, 73-percent, Zenodo, Co-DETECT, production-ready</t>
  </si>
  <si>
    <t>Deploy at full corpus scale. Use claude-haiku-4-5 for cost efficiency at 27k scale.</t>
  </si>
  <si>
    <t>R005-S01</t>
  </si>
  <si>
    <t>2025-XX-XX</t>
  </si>
  <si>
    <t>5 — Production Session 1</t>
  </si>
  <si>
    <t>claude-haiku-4-5-20251001</t>
  </si>
  <si>
    <t>2500</t>
  </si>
  <si>
    <t>SP-PROD</t>
  </si>
  <si>
    <t>UP-PROD</t>
  </si>
  <si>
    <t>Production scale-up. Expanded 13-field JSON schema. Model → claude-haiku-4-5-20251001 for cost efficiency.</t>
  </si>
  <si>
    <t>v4.0 validated at 73%. Full corpus requires 14 sessions × 2000 rows. Haiku 4.5 ~15x cheaper than Sonnet.</t>
  </si>
  <si>
    <t>Rows 0–1999 coded. JSON output, 13 fields + location enrichments = 29 output columns. Auto-save every 100 rows.</t>
  </si>
  <si>
    <t>/content/drive/MyDrive/bead_coding_27k_production/batch_01_rows_0-1999.xlsx</t>
  </si>
  <si>
    <t>2000 rows coded with JSON output matching 29-column schema.</t>
  </si>
  <si>
    <t>Session 1 notebook not available for review but referenced in session management sequence. Temperature=0.</t>
  </si>
  <si>
    <t>Marks transition from development to production. Establishes session-managed batching pattern.</t>
  </si>
  <si>
    <t>Residual — flagged entries reviewed manually</t>
  </si>
  <si>
    <t>🔴 SECURITY: API key was hard-coded in earlier production scripts (sk-ant-api03-wtLPa4...). Key has been rotated. All new scripts use Colab Secrets (userdata.get) or os.getenv only.</t>
  </si>
  <si>
    <t>production, haiku-4-5, session-1, JSON, 13-fields</t>
  </si>
  <si>
    <t>Continue sessions 2–14.</t>
  </si>
  <si>
    <t>R005-S02</t>
  </si>
  <si>
    <t>5 — Production Session 2</t>
  </si>
  <si>
    <t>Session 2 fixes: fresh start from row 2000, explicit BATCH_START/END override, improved JSON retry, exponential backoff, per-100-row logging.</t>
  </si>
  <si>
    <t>Session state corruption caused accidental resumption from wrong rows. Fix: explicit batch range constants.</t>
  </si>
  <si>
    <t>Rows 2000–3999 coded. JSON output. Auto-saved every 100 rows. Logs: session_2_processing.log + session_2_errors.log.</t>
  </si>
  <si>
    <t>/content/drive/MyDrive/bead_coding_27k_production/batch_02_rows_2000-3999.xlsx</t>
  </si>
  <si>
    <t>2000 rows coded, JSON valid, auto-saved.</t>
  </si>
  <si>
    <t>Session management pattern established. No data loss. Colab URL: https://colab.research.google.com/drive/1YjDTtZxzkvjMcaL6Eyh68j-Bl3u8WwiX</t>
  </si>
  <si>
    <t>Session-managed batching pattern confirmed robust.</t>
  </si>
  <si>
    <t>Residual</t>
  </si>
  <si>
    <t>production, haiku-4-5, session-2, rows-2000-3999, JSON</t>
  </si>
  <si>
    <t>Continue sessions 3–14.</t>
  </si>
  <si>
    <t>R005-S03</t>
  </si>
  <si>
    <t>5 — Production Session 3</t>
  </si>
  <si>
    <t>Session 3: fresh start row 4000. Same fixes as Session 2.</t>
  </si>
  <si>
    <t>Continuing production.</t>
  </si>
  <si>
    <t>Rows 4000–5999 coded.</t>
  </si>
  <si>
    <t>/content/drive/MyDrive/bead_coding_27k_production/batch_03_rows_4000-5999.xlsx</t>
  </si>
  <si>
    <t>2000 rows coded.</t>
  </si>
  <si>
    <t>Consistent quality.</t>
  </si>
  <si>
    <t>production, haiku-4-5, session-3, rows-4000-5999</t>
  </si>
  <si>
    <t>R005-S04</t>
  </si>
  <si>
    <t>~150</t>
  </si>
  <si>
    <t>5 — Production Session 4 (+ Excel fix)</t>
  </si>
  <si>
    <t>CRITICAL BUG FIX: openpyxl crashed on Unicode in cell values ('Southern Africa, xrica cannot be used in worksheets'). Root cause: openpyxl restrictions on Unicode. Fix: sanitize_for_excel() strips problematic chars before writing.</t>
  </si>
  <si>
    <t>First 1299 rows of Session 4 succeeded; last ~700 crashed. Session 4 re-run with Unicode sanitisation.</t>
  </si>
  <si>
    <t>Rows 6000–7999 coded after fix. Smart sanitisation: strips emojis/control chars, preserves accents (é,ñ,ü) + currency (€,£,¥). ~500-600 previously crashed rows recovered.</t>
  </si>
  <si>
    <t>/content/drive/MyDrive/bead_coding_27k_production/batch_04_rows_6000-7999.xlsx</t>
  </si>
  <si>
    <t>2000 rows with no openpyxl Unicode errors.</t>
  </si>
  <si>
    <t>Unicode bug affected African place names with diacritics. Smart sanitisation preserves historical spelling accuracy.</t>
  </si>
  <si>
    <t>Critical infrastructure fix. Demonstrates importance of testing with real historical corpus data.</t>
  </si>
  <si>
    <t>production, haiku-4-5, session-4, Excel-fix, Unicode, openpyxl-crash</t>
  </si>
  <si>
    <t>Apply smart sanitisation to sessions 5–14 as standard.</t>
  </si>
  <si>
    <t>R005-S05-S14</t>
  </si>
  <si>
    <t>2025-XX-XX to 2026-01-XX</t>
  </si>
  <si>
    <t>~1200 (10 sessions)</t>
  </si>
  <si>
    <t>5 — Production Sessions 5–14</t>
  </si>
  <si>
    <t>Sessions 5–14: smart Unicode sanitisation standard. S05 8000–9999, S06 10000–11999, S07 12000–13999, S08 14000–15999, S09 16000–17999, S10 18000–19999, S11 20000–21999, S12 22000–23999, S13 24000–25999, S14 26000–27999.</t>
  </si>
  <si>
    <t>Smart sanitisation as standard after S04 crash. All sessions identical SP-PROD + UP-PROD.</t>
  </si>
  <si>
    <t>Sessions 5–14 complete: rows 8000–27060. 14 batch files. Colab: https://colab.research.google.com/drive/1YjDTtZxzkvjMcaL6Eyh68j-Bl3u8WwiX</t>
  </si>
  <si>
    <t>/content/drive/MyDrive/bead_coding_27k_production/batch_05 through batch_14 (10 files)</t>
  </si>
  <si>
    <t>All remaining 19,060 rows coded in consistent JSON format.</t>
  </si>
  <si>
    <t>Sessions 5–14 ran without major issues after S04 fix. ~8% flagged for human review. Total: 27,060 obs.</t>
  </si>
  <si>
    <t>Complete 27,060-observation corpus coded. 13-field JSON ready for merging.</t>
  </si>
  <si>
    <t>Residual — flagged reviewed manually</t>
  </si>
  <si>
    <t>🔴 SECURITY: API key was hard-coded in earlier production scripts (sk-ant-api03-wtLPa4...). Key has been rotated. All new scripts use Colab Secrets (userdata.get) or os.getenv only. | Corpus contains racialized colonial descriptions.</t>
  </si>
  <si>
    <t>production, haiku-4-5, sessions-5-14, 27060-obs, JSON, smart-sanitisation</t>
  </si>
  <si>
    <t>Merge all 14 batch files. Run metadata merge. Proceed to Murdock join.</t>
  </si>
  <si>
    <t>R006-A</t>
  </si>
  <si>
    <t>2025-08-12 14:35</t>
  </si>
  <si>
    <t>~128 (1,453 rows at 11/min)</t>
  </si>
  <si>
    <t>6A — Munashe validation run (expert edge case notebook)</t>
  </si>
  <si>
    <t>1500</t>
  </si>
  <si>
    <t>UP-EXP</t>
  </si>
  <si>
    <t>Expert-validated v4.0 codebook integrated directly in notebook (no external file). Runs on Munashe_Cleaned.xlsx (1,453 rows, 23 columns). 23-variable XML output. Auto-save every 25 rows. Resume capability.</t>
  </si>
  <si>
    <t>Validate complete v4.0 codebook on separate dataset (Munashe_Cleaned.xlsx) to confirm transferability beyond Time Traveller corpus.</t>
  </si>
  <si>
    <t>1,453 rows coded. 100% success rate (1,453/1,453). Cost: $12.43. Rate: ~11 rows/min. One API error at row 381 recovered on retry. All 23 variables populated.</t>
  </si>
  <si>
    <t>/content/drive/MyDrive/bead_annotation/session_2025-08-12_14-35-02/coded_entries_final.xlsx</t>
  </si>
  <si>
    <t>100% successful JSON coding of Munashe_Cleaned.xlsx at v4.0 codebook.</t>
  </si>
  <si>
    <t>100% success rate across 1,453 rows. Single API 500 error at row 381 recovered gracefully on attempt 2. JSON expansion into columns successful. All 23 variables extracted.</t>
  </si>
  <si>
    <t>Confirms v4.0 codebook and pipeline architecture are robust and transferable to new datasets beyond the Time Traveller corpus.</t>
  </si>
  <si>
    <t>Residual — anthropological dataset carries inherent framing</t>
  </si>
  <si>
    <t>Munashe_Cleaned.xlsx is a different dataset from the main 27k corpus. Source and provenance not documented in notebook. Verify dataset permissions.</t>
  </si>
  <si>
    <t>validation, sonnet-3-5, Munashe, 1453-rows, 100-percent-success, expert-codebook, https://colab.research.google.com/github/laurencoetzee001/Beads_Co-detect/blob/main/expert_edgecase_codebook__integrated.ipynb</t>
  </si>
  <si>
    <t>Document Munashe dataset provenance. Apply structured dual-column approach (R006-B) to this dataset.</t>
  </si>
  <si>
    <t>R006-B</t>
  </si>
  <si>
    <t>2025-XX-XX (interrupted)</t>
  </si>
  <si>
    <t>~5 rows before interrupt</t>
  </si>
  <si>
    <t>6B — Structured dual-column output V3 (interrupted)</t>
  </si>
  <si>
    <t>claude-sonnet-4-20250514</t>
  </si>
  <si>
    <t>3000</t>
  </si>
  <si>
    <t>SP-STRUCT</t>
  </si>
  <si>
    <t>UP-STRUCT</t>
  </si>
  <si>
    <t>New architecture: XML output with dual-column approach (coded value + descriptive detail per variable = ~49 columns). Data quality pre-check embedded. Temperature 0.2. All_entries_beads_cleaned.xlsx (27,060 rows).</t>
  </si>
  <si>
    <t>Research need for both statistically analysable coded values AND preserved descriptive richness. Dual columns resolve the quant/qual divide. Model upgraded to claude-sonnet-4-20250514.</t>
  </si>
  <si>
    <t>Keyboard interrupt after ~5 rows. Extracted 49 fields per row. Architecture confirmed working (rows 0–1 showed correct dual-column extraction). Colab URL: github.com/laurencoetzee001/Beads_Co-detect/blob/main output_structure_revised.ipynb</t>
  </si>
  <si>
    <t>/content/drive/MyDrive/bead_annotation/structured_session_.../batch_1_rows_0_1.xlsx (incomplete)</t>
  </si>
  <si>
    <t>Full 27,060 rows coded with 49-column dual structured output.</t>
  </si>
  <si>
    <t>Architecture validated on 5 rows — 49 fields per row extracted correctly. Interrupted by keyboard. Batch-saving system functional. XML parser works. To be resumed.</t>
  </si>
  <si>
    <t>Establishes the production-quality dual-column schema for dissertation analysis. More analytically useful than the 13-field JSON (R005) because it preserves descriptive richness alongside coded values.</t>
  </si>
  <si>
    <t>Not tested at scale</t>
  </si>
  <si>
    <t>Data quality pre-check (readable/corrupted_ocr/context_page_only/no_bead_content) now embedded as Step 0. Conservative coding at temperature 0.2.</t>
  </si>
  <si>
    <t>dual-column, structured-output, sonnet-4, V3, 49-fields, XML, interrupted, GitHub: https://github.com/laurencoetzee001/Beads_Co-detect</t>
  </si>
  <si>
    <t>Resume R006-B using batch session management. Process full 27,060 rows. Target: replace R005 JSON with richer dual-column dataset.</t>
  </si>
  <si>
    <t>R007</t>
  </si>
  <si>
    <t>2026-01-26 09:00</t>
  </si>
  <si>
    <t>~360</t>
  </si>
  <si>
    <t>7 — Manufacturing &amp; archaeological v5.0</t>
  </si>
  <si>
    <t>0.0</t>
  </si>
  <si>
    <t>6000</t>
  </si>
  <si>
    <t>SP-V5MFG</t>
  </si>
  <si>
    <t>UP-V5MFG</t>
  </si>
  <si>
    <t>Codebook v5.0 (TRAVEL-R / Stellenbosch / Bozen-Bolzano). Adds manufactured_locally and ancient_archaeological to v4.0 rules. JSON output. Data input: manufacturing_rerun_january_2026.xlsx. Model: claude-sonnet-4-20250514. Multiple resume scripts with cross-session batch tracking.</t>
  </si>
  <si>
    <t>Manufacturing origin and archaeological context required for TRAVEL-R and dissertation manufacturing chapter. Conservative defaults: both new variables default to 'unclear'.</t>
  </si>
  <si>
    <t>Full corpus coded for manufacturing variables. 'unclear' for ~60% (insufficient textual evidence — expected). Archaeological context ~72% confidence. Results: CODED_with_manufacturing_v5_20260126.csv. Multiple resumed sessions.</t>
  </si>
  <si>
    <t>/content/drive/MyDrive/Bead_Analysis_v5_Results/CODED_with_manufacturing_v5_20260126.csv</t>
  </si>
  <si>
    <t>Reliable coding of manufactured_locally and ancient_archaeological across full corpus.</t>
  </si>
  <si>
    <t>Manufacturing variable: 'yes' coded conservatively (explicit text of local production only). 'ancient_archaeological': 'yes' ONLY for actual excavation/burial context ('excavated at', 'found in tombs'). 'no' for ALL trade narratives including historical patterns and oral traditions. Consistency checks: exchange='no' → price/other_exchanged/process/nature must be N/A. Excel character sanitisation applied throughout. Cross-session batch tracking (glob across all session dirs).</t>
  </si>
  <si>
    <t>Enables TRAVEL-R comparative material culture analysis and dissertation manufacturing networks chapter.</t>
  </si>
  <si>
    <t>Manufacturing classifications must not reify colonial 'primitive technology' narratives. ancient_archaeological strictly limited to actual excavation context — prevents conflating oral tradition with archaeology.</t>
  </si>
  <si>
    <t>manufacturing, archaeological, v5.0, claude-sonnet-4, TRAVEL-R, Stellenbosch, Bozen-Bolzano, JSON, resume-capable</t>
  </si>
  <si>
    <t>Merge manufacturing codes with R005 output. Proceed to Murdock ethnographic join.</t>
  </si>
  <si>
    <t>R008</t>
  </si>
  <si>
    <t>2026-01-28 07:56</t>
  </si>
  <si>
    <t>~30 (pipeline script)</t>
  </si>
  <si>
    <t>8 — Murdock join (no LLM)</t>
  </si>
  <si>
    <t>Python/Pandas — no LLM</t>
  </si>
  <si>
    <t>N/A</t>
  </si>
  <si>
    <t>Local (Colab)</t>
  </si>
  <si>
    <t>No LLM. Python/Pandas LEFT JOIN of merged coded dataset with ethnic_beads__version_3__xlsb.xlsx (Murdock Ethnographic Atlas). Join key: snippet_ID = aa. Dataset expands due to one-to-many ethnic group matches.</t>
  </si>
  <si>
    <t>Murdock classifications required for cross-cultural dissertation analysis.</t>
  </si>
  <si>
    <t>Final dataset: 36,172 rows × 117 columns. 27,060 unique obs; 17,158 with full Murdock data (63.4%). 5,517 unique ethnic groups.</t>
  </si>
  <si>
    <t>/content/drive/MyDrive/Bead_Analysis_v5_Results/FINAL_with_ethnographic_data_20260128_075612.xlsx</t>
  </si>
  <si>
    <t>Complete 36k-row analysis-ready dataset with Murdock classifications.</t>
  </si>
  <si>
    <t>Dataset complete. 36,172 rows expanded from 27,060 due to multi-ethnic group obs. File: FINAL_with_ethnographic_data_20260128_075612.xlsx</t>
  </si>
  <si>
    <t>Definitive empirical dataset for dissertation beads chapter. Central to C²DH seminar (2026-01-27).</t>
  </si>
  <si>
    <t>Murdock Atlas join introduces ethnographic snapshot risk: 20th-century 'ethnographic present' applied to 16th–19th-century data. This limitation is central to dissertation argument.</t>
  </si>
  <si>
    <t>Murdock, ethnographic-join, 36172-rows, 117-columns, analysis-ready, final-dataset</t>
  </si>
  <si>
    <t>Proceed to beads chapter analysis. Prepare C²DH seminar presentation. Write Co-DETECT methods paper.</t>
  </si>
  <si>
    <t>Prompt Library — Version Control for Your Prompts</t>
  </si>
  <si>
    <t>Version ID</t>
  </si>
  <si>
    <t>Prompt Type</t>
  </si>
  <si>
    <t>Date Created</t>
  </si>
  <si>
    <t>Created By</t>
  </si>
  <si>
    <t>Prompt Text</t>
  </si>
  <si>
    <t>Changed From
Previous Version</t>
  </si>
  <si>
    <t>Rationale</t>
  </si>
  <si>
    <t>Used in Runs</t>
  </si>
  <si>
    <t>Status</t>
  </si>
  <si>
    <t>System Prompt</t>
  </si>
  <si>
    <t>2024-06-26</t>
  </si>
  <si>
    <t>Analyze the following historical text excerpt about bead exchanges and extract specific information related to the beads and their exchange to this codebook {codebook}, use the code of the codebook — more than one answer or codenumber is possible. Get the answers from {text}. Please give an xml output just as in starting with data.</t>
  </si>
  <si>
    <t>First prototype — no previous</t>
  </si>
  <si>
    <t>Baseline SP. Codebook injected inline. XML output. Used in R000-A and R000-B.</t>
  </si>
  <si>
    <t>R000-A, R000-B</t>
  </si>
  <si>
    <t>Retired</t>
  </si>
  <si>
    <t>User Prompt</t>
  </si>
  <si>
    <t>Analyze the following historical text excerpt about bead exchanges and extract specific information related to the beads and their exchange to this codebook {codebook}, use the code of the codebook. Get the answers from
{text_page_gp}
Please give an xml output just as in starting with data.</t>
  </si>
  <si>
    <t>Baseline UP. Codebook as variable. XML output. Row-by-row.</t>
  </si>
  <si>
    <t>2024-07-01</t>
  </si>
  <si>
    <t>You are an expert historical coder analyzing texts about precolonial African bead exchange systems from the Time Traveller corpus (1500–1900). Your task is to classify if the text contains meaningful bead-related content and extract key exchange information.
Code ONLY what is explicitly stated. Do NOT infer. When uncertain, code as 'unclear' or 'NA'.
Output XML format with all required variable tags.</t>
  </si>
  <si>
    <t>First systematic version — no previous</t>
  </si>
  <si>
    <t>Baseline SP for Co-DETECT beads pipeline. Establishes role and conservative coding principle.</t>
  </si>
  <si>
    <t>2024-07-18</t>
  </si>
  <si>
    <t>You are an expert historical coder analyzing texts about precolonial African bead exchange systems.
CRITICAL CONSERVATIVE RULE for 4a_exchange:
Code 'xo' ONLY when ALL THREE are present:
1. EXPLICIT transaction verb: traded, sold, bought, exchanged, gave for, received for, purchased
2. CLEAR PARTIES: identifiable giver AND receiver
3. COMPLETED ACTION: past tense indicating transaction happened
If ANY criterion is missing → code 'no'.
Output XML with all required variable tags.</t>
  </si>
  <si>
    <t>25% agreement from R001 driven by over-liberal exchange coding. Conservative alignment fix.</t>
  </si>
  <si>
    <t>2024-08-11</t>
  </si>
  <si>
    <t>You are an expert historical coder analyzing texts about precolonial African bead exchange systems (1500–1900).
MANDATORY PREPROCESSING:
P1: &lt;50 readable chars → read_entry='NaN', STOP
P2: No actual bead content → read_entry='NaN', STOP
P3: &gt;60% non-standard chars → read_entry='NaN', STOP
EXPERT EDGE CASE RULES:
E1 Historical Generalisations → exchange='no' (general pattern, not specific instance)
E2 Intangible Exchanges → exchange='xo' (knowledge/services are valid)
E3 Observational Contexts → exchange='no' (observation, not transaction)
E4 Gift-giving → exchange='xo', nature='social'
E5 Equipment Beads → bead_function='aesthetic', exchange='no'
Output XML with all variable tags.</t>
  </si>
  <si>
    <t>Added preprocessing filters P1–P3 and expert edge case rules E1–E5</t>
  </si>
  <si>
    <t>Systematic edge case resolution from 800-obs human-expert analysis.</t>
  </si>
  <si>
    <t>2024-08-12</t>
  </si>
  <si>
    <t>You are an expert historical coder analyzing texts about precolonial African bead exchange systems (1500–1900).
=== BEAD EXCHANGE CODEBOOK v4.0 (FINAL — Zenodo DOI: 10.5281/zenodo.14550112) ===
P1–P3 preprocessing filters locked.
E1–E5 expert edge case rules locked.
15 VARIABLES: read_entry | 4a_exchange | 2_nature_of_exchange | 4b_beads_exchanged | 4c_exchanged_item | 1a_physical_function | 1b_trade_function | 1c_social_function | 3a_bead_material | 3b_bead_colour | 3c_bead_shape | 3d_bead_size | 5_geographic_location | 5a_ethnic_group | confidence
4a_exchange: 'xo' ONLY with explicit transaction verb + identifiable parties + completed past-tense action.
Output ONLY a valid XML block. No preamble.</t>
  </si>
  <si>
    <t>FINAL VALIDATED v4.0 — all edge cases locked, archived on Zenodo</t>
  </si>
  <si>
    <t>73% human-AI agreement. Approved for production deployment.</t>
  </si>
  <si>
    <t>Production — Archived on Zenodo</t>
  </si>
  <si>
    <t>You are a historian analyzing pre-colonial African bead trade records.
TASK: Extract ALL 13 structured data fields. Be conservative - require explicit evidence.
RESPONSE FORMAT: Return ONLY a JSON object. NO markdown, NO ```json``` tags, NO extra text.
JSON STRUCTURE (13 fields):
{
  "1_price_HUMAN": {"status": "yes|no|xo", "amount": "...", "currency": "...", "description": "..."},
  "2_size_HUMAN": {"code": 1-6, "description": "..."},
  "3_colour_HUMAN": {"codes": [1-14], "description": "..."},
  "4_location_HUMAN": {"codes": [1-4], "names": "..."},
  "4_location_names_original_spellings": "exact historical spellings",
  "4_location_context": "Location | Geographic | Strategic | Political",
  "5_function_HUMAN": {"codes": [1-4], "description": "..."},
  "6_origin_of_bead": "geographic origin or null",
  "7_shape_HUMAN": {"codes": [1-12], "description": "..."},
  "8_type_bead_HUMAN": {"codes": [1-14], "description": "..."},
  "9_local_name_HUMAN": {"exists": "1|2|null", "names": [...]},
  "10_relationship_": {"codes": [1-31], "description": "..."},
  "11_units_of_measure": {"type": 1-4, "description": "..."},
  "12_bead_ethnic_": ["ethnic group names"],
  "13_nature_of_exchange": {"code": 1-6, "description": "..."},
  "notes": "..."
}
FIELD CODES:
1_price status: yes=price mentioned, no=not mentioned, xo=exchanged
2_size: 1=large 2=medium 3=small 4=various 5=thin 6=thick
3_colour: 1=red 2=blue 3=white 4=pink 5=coral 6=amber 7=copper 8=green 9=yellow 10=transparent 11=seed glass 12=black 13=multicoloured 14=other
4_location: 1=mountain/hill 2=lake 3=river/waterfall 4=populated place
5_function: 1=jewellery/adornment 2=currency/exchange 3=ceremonial/religious 4=status/gift
7_shape: 1=round 2=tubular 3=square 4=oval 5=oblong 6=punched 7=wound 8=pressed 9=decorative 10=faceted 11=bugle 12=chevron
8_type: 1=glass 2=clay 3=metal 4=stone 5=coral 6=amber 7=bone 8=ivory 9=dried seed 10=ceramic 11=wooden 12=porcelain 13=shell 14=eggshell
10_relationship: 1=wire 2=cloth 3=shells 4=coins 5=livestock 6=iron bars 7=scarabs 8=precious stones 9=antiquities 10=ostrich feathers 11=ebony/ivory 12=salt 13=rubber/gum 14=medicines 15=spices/perfumes 16=wax/seals 17=leather/hides 18=weapons 19=dried food 20=prints/books 21=guns/gunpowder 22=jewellery 23=textiles 24=gold/silver 25=slaves 26=glass objects 27=hardware 28=tobacco 29=musical instruments 30=water 31=alcohol
11_units: 1=string 2=plaited/woven 3=necklace/bracelet/waist 4=other
13_nature: 1=consensual 2=conflictual 3=unspecified 4=competitive/bartering 5=social/gifts 6=uncommercial
=== CRITICAL EXCHANGE RULES (1_price_HUMAN status / 4a_exchange) ===
Code 'xo' ONLY when ALL present:
✓ Explicit transaction verb: traded, sold, bought, exchanged, gave, received
✓ Past tense completed action  ✓ Clear parties  ✓ Specific items
✗ DO NOT code 'xo' for: value descriptions, manufacturing, hypotheticals, general statements, observations, decorative usage
=== LOCATION EXTRACTION (TWO LAYERS) ===
Layer 1: Preserve EXACT historical spellings with diacritics: Bontúku, Dahomey, Whydah
Layer 2: Geographic + strategic + political context. Format: "Location | Geographic | Strategic | Political"
CRITICAL: Return ONLY the JSON object. Use null for missing data.</t>
  </si>
  <si>
    <t>Complete redesign for production: JSON output (not XML), 13-field expanded schema, two-layer location extraction, 31-item exchange relationship taxonomy, local bead name capture, units of measure. Model: claude-haiku-4-5-20251001.</t>
  </si>
  <si>
    <t>Production requires: (1) reliable programmatic parsing → JSON cleaner than XML at scale; (2) richer variables for dissertation analysis; (3) cost efficiency at 27k scale. Exchange rules from v4.0 retained.</t>
  </si>
  <si>
    <t>R005-S01 through R005-S14</t>
  </si>
  <si>
    <t>Production — Active</t>
  </si>
  <si>
    <t>SP-EXP</t>
  </si>
  <si>
    <t>2025-08-12</t>
  </si>
  <si>
    <t>You are an expert historical researcher analyzing bead exchange patterns. Use the following expert-validated codebook to analyze this historical text about beads.
EXPERT-VALIDATED CODEBOOK v4.0:
[Full codebook v4.0 inlined — see Zenodo DOI: 10.5281/zenodo.14550112]
CRITICAL REQUIREMENTS:
1. Apply preprocessing data quality rules first (P1–P3)
2. Follow the mandatory decision flowchart
3. Use expert-validated examples for edge cases (E1–E5)
4. When in doubt, be CONSERVATIVE and require explicit evidence
5. Provide a confidence score (0.0-1.0) for your analysis
RESPOND WITH PURE JSON ONLY (no text before or after):
[23-variable JSON structure including read_entry through 13_notes]</t>
  </si>
  <si>
    <t>Expert-validated v4.0 codebook inlined directly in notebook (no external file). 23-variable JSON output. claude-3-5-sonnet-20241022.</t>
  </si>
  <si>
    <t>Validation run on Munashe_Cleaned.xlsx (different dataset from 27k corpus). Tests codebook transferability and confirms 100% success rate on new data.</t>
  </si>
  <si>
    <t>Production — Used in expert_edgecase_codebook__integrated.ipynb; GitHub: https://github.com/laurencoetzee001/Beads_Co-detect</t>
  </si>
  <si>
    <t>STRUCTURED BEAD TRADE CODING CODEBOOK - EXPERT-VALIDATED VERSION V3
================================================================
Based on highest human-AI agreement rates (July 2025) with edge case improvements.
You are analyzing historical texts about pre-colonial African bead trade.
Extract information for EVERY variable, providing both CODED VALUES and DESCRIPTIVE DETAILS.
DATA QUALITY PRE-CHECK (Step 0):
Before coding, check if text: &lt;50 readable chars → data_quality_issue | corrupted OCR → corrupted_ocr | context page → context_page_only | no bead content → no_bead_content
CRITICAL INSTRUCTIONS:
1. Answer ALL variables in order
2. Use "none" or "no" if information not present
3. Be CONSERVATIVE — require explicit evidence; do NOT infer
4. Temperature 0.2: be consistent and precise
5. Provide both coded answer AND descriptive detail for each variable
4a_exchange RULES:
"xo" ONLY when text explicitly describes beads traded/bartered/sold for something specific
"no" for ALL other mentions: manufacturing, value descriptions, adornment, market displays, general demand, ceremonial use, payment systems, historical generalizations, observational contexts
SPECIAL CASES: gift-giving with "offered presents" = "xo"; intangible exchanges = "xo"; equipment beads = "no"
DUAL COLUMN OUTPUT FORMAT (XML):
&lt;analysis&gt;
&lt;data_quality&gt;[readable/corrupted_ocr/context_page_only/no_bead_content]&lt;/data_quality&gt;
&lt;thinking&gt;[analysis process]&lt;/thinking&gt;
&lt;variables&gt;
  &lt;var_read_entry&gt;0/1/2/NaN&lt;/var_read_entry&gt;
  &lt;var_read_entry_detail&gt;readability and bead relevance&lt;/var_read_entry_detail&gt;
  ... [all 23 variables × 2 = 46 coded+detail pairs + data_quality + thinking = ~49 fields]
  &lt;var_4a_exchange&gt;no or xo&lt;/var_4a_exchange&gt;
  &lt;var_4a_exchange_detail&gt;explicit exchange evidence&lt;/var_4a_exchange_detail&gt;
  ...
&lt;/variables&gt;
&lt;/analysis&gt;
Model: claude-sonnet-4-20250514 | Temperature: 0.2 | Max tokens: 3000</t>
  </si>
  <si>
    <t>New dual-column architecture: coded value + descriptive detail per variable = ~49 fields. Data quality pre-check (Step 0). Temperature 0.2. XML output. claude-sonnet-4-20250514.</t>
  </si>
  <si>
    <t>Addresses limitation of JSON-only approach: preserves both statistically analysable codes AND rich descriptive content in separate columns. Dual columns resolve the quant/qual divide for dissertation analysis.</t>
  </si>
  <si>
    <t>In Progress — interrupted; GitHub: https://github.com/laurencoetzee001/Beads_Co-detect</t>
  </si>
  <si>
    <t>2026-01-26</t>
  </si>
  <si>
    <t>You are an expert historical coder analyzing texts about precolonial African bead exchange systems.
CRITICAL INSTRUCTIONS:
- Code ONLY what is EXPLICITLY stated in the text
- Do NOT infer, assume, or interpret beyond what is directly written
- When uncertain, be CONSERVATIVE and code as "unclear" or "N/A"
- Follow all decision rules strictly
PREPROCESSING FILTERS (Apply First):
P1: Text &lt; 50 readable characters → read_entry = "NaN", STOP coding
P2: Context/title page without bead content → read_entry = "NaN", STOP coding
P3: 60%+ non-standard characters → read_entry = "NaN", STOP coding
EXPERT DECISION RULES (E1–E5): [same as v4.0]
VARIABLES TO CODE (16 total):
1. read_entry: full text OR "NaN" if fails P1-P3
2. exchange: "yes"|"no"
3. bead_function: aesthetic/currency/valuable/spiritual/social_marker/magical (comma-separated)
4. bead_material: glass/stone/metal/organic/mixed (ONLY if explicit)
5. bead_color: exact color terms or N/A
6. bead_shape: round/cylindrical/tubular/disk or exact terms
7. price_of_bead: all pricing info, rates, relative values
8. beads_exchanged: brief description in transaction
9. other_exchanged: what traded for beads
10. process_of_exchange: how exchange occurred
11. ethnic_group: exact names from text
12. nature_of_exchange: "positive"|"conflictual"|"neutral"|"N/A"
13. time_reference: "contemporary"|"historical"|"hypothetical"|"mixed"
14. manufactured_locally: "yes"|"no"|"unclear"|"N/A" (N/A = archaeological only)
15. ancient_archaeological: "yes"|"no"|"unclear"
    - "yes" ONLY for: "excavated at", "dug up from", "found in tombs", "recovered from burials", "archaeological site"
    - "no" for: ALL trade narratives, preserved customs, oral traditions, "lost manufacturing art", ANY currency use observation
16. confidence_score: 0.0 to 1.0
OUTPUT FORMAT: Return ONLY valid JSON with all 16 fields. No markdown, no preamble.</t>
  </si>
  <si>
    <t>Extended v4.0 with manufactured_locally and ancient_archaeological (16 variables). JSON output. claude-sonnet-4-20250514. Multiple resume scripts with cross-session batch tracking.</t>
  </si>
  <si>
    <t>Manufacturing origin and archaeological context required for TRAVEL-R and dissertation manufacturing chapter. Strict definition of ancient_archaeological prevents conflating oral tradition with actual excavation context.</t>
  </si>
  <si>
    <t>Active — Production</t>
  </si>
  <si>
    <t>SP-05</t>
  </si>
  <si>
    <t>Same as SP-V5MFG above — alternative label used in earlier documentation.</t>
  </si>
  <si>
    <t>Same as SP-V5MFG</t>
  </si>
  <si>
    <t>Alias for SP-V5MFG.</t>
  </si>
  <si>
    <t>Alias — see SP-V5MFG</t>
  </si>
  <si>
    <t>SP-RESEARCH</t>
  </si>
  <si>
    <t>ENHANCED BEAD TRADE CODING CODEBOOK - RESEARCH FOCUSED
======================================================
Based on proven working approach — PRESERVE ALL DETAIL for trade route reconstruction.
You are analyzing historical texts to reconstruct pre-colonial African trade networks and bead characteristics.
4a_exchange:
"xo" ONLY when text explicitly describes beads traded/bartered/sold for something specific (as per v4.0 rules)
"no" for all other mentions
RESEARCH-CRITICAL FIELDS:
4b_beads_exchanged: Extract EVERY detail — material, color, size, quantity, quality, origin, measurement units
6_bead_ethnic_group format: "Primary Groups: [...] | Trader Types: [...] | Geographic Origins: [...] | Trade Network Context: [...]"
8_location_name: Include ALL geographic context — primary name, geographic descriptors, directional, regional, distance, strategic importance
10_beads_observed: COMPREHENSIVE physical description — material, color, size, shape, manufacturing, cultural significance
12_local_name: Indigenous name + cultural significance + regional variations
CRITICAL RESEARCH PRINCIPLE: Preserve ALL descriptive detail. Rich detail is more valuable than simplified extraction.
IMPORTANT REMINDERS:
- Answer every variable
- Preserve historical terminology
- Apply codebook to each row independently (do not draw inferences from other rows)
- base answers ONLY on provided text</t>
  </si>
  <si>
    <t>Research-focused enhancement of v4.0: richer field instructions for 4b, 6, 8, 10, 12 to preserve ALL descriptive detail for trade route reconstruction.</t>
  </si>
  <si>
    <t>Standard codebook truncates geographic and bead characteristic descriptions. Research-focused version preserves full context for spatial and economic network analysis.</t>
  </si>
  <si>
    <t>R006-A variant; expert_edgecase_codebook_revision_integrated</t>
  </si>
  <si>
    <t>Retired — superseded by SP-STRUCT dual-column approach</t>
  </si>
  <si>
    <t>Please analyze the following historical text excerpt from the Time Traveller corpus and code it according to the bead exchange codebook.
Text: {text_page_gp}
Provide your coding in XML format with all required variable tags.</t>
  </si>
  <si>
    <t>First systematic version</t>
  </si>
  <si>
    <t>Baseline UP. Passes text_page_gp. XML output.</t>
  </si>
  <si>
    <t>R001, R002</t>
  </si>
  <si>
    <t>Analyze the following historical text in two steps.
Step 1 — EXTRACT: Identify all bead-related information. Note exchange events, bead characteristics, geographic references, cultural context.
Step 2 — REFORMAT: Convert extraction into required XML coding format using conservative rules. Apply preprocessing filters P1–P3 first.
Text: {text_page_gp}
Output: XML block only (no preamble after Step 2).</t>
  </si>
  <si>
    <t>Added two-step extraction + reformatting</t>
  </si>
  <si>
    <t>R002 outputs showed format misalignment. Two-step separates extraction from formatting.</t>
  </si>
  <si>
    <t>R003, R004</t>
  </si>
  <si>
    <t>UP-03</t>
  </si>
  <si>
    <t>Analyze the following historical text excerpt. Apply the codebook strictly. Output ONLY a valid XML block with all required variables coded. Do not include any preamble, explanation, or text outside the XML tags.
&lt;text&gt;{text_page_gp}&lt;/text&gt;</t>
  </si>
  <si>
    <t>Simplified to pure XML output only</t>
  </si>
  <si>
    <t>At temperature 0.2, two-step was redundant. Pure XML reduces tokens and parsing errors.</t>
  </si>
  <si>
    <t>R005-manufacturing (v5.0 run variant)</t>
  </si>
  <si>
    <t>Analyze this historical text and extract ALL 13 fields:
TEXT:
{text}
Return ONLY the JSON object. No ```json``` tags, no other text.</t>
  </si>
  <si>
    <t>Switched from XML to JSON; simplified to single instruction. Note: variable is {text} not {text_page_gp} — text_page_gp value passed as 'text' in template.</t>
  </si>
  <si>
    <t>JSON required for production pipeline. Minimal instruction at temperature=0 is sufficient and reduces token count.</t>
  </si>
  <si>
    <t>You are a historian using a PROVEN codebook (55% human-AI agreement baseline). Apply ALL E1–E5 edge case rules. Respond with ONLY valid JSON.
TEXT TO ANALYZE:
"{entry_text}"
RESPOND WITH PURE JSON ONLY (start with {{ end with }}):
[23-variable JSON template as scaffold]</t>
  </si>
  <si>
    <t>Scaffold-based prompt: JSON template with all 23 variables as placeholder values pre-shown for the model to replace.</t>
  </si>
  <si>
    <t>Scaffold approach reduces ambiguity about required output structure. Explicitly prompts all 23 variables.</t>
  </si>
  <si>
    <t>Production — Used in expert_edgecase_codebook__integrated.ipynb</t>
  </si>
  <si>
    <t>[STRUCTURED_CODEBOOK as above]
IMPORTANT REMINDERS:
- Answer EVERY variable
- Use 'none' if information not present
- Base answers ONLY on this text
- Provide both coded value and descriptive detail
- Follow exact XML format
EXCERPT TO ANALYZE:
{entry_text}
Provide your complete XML response:</t>
  </si>
  <si>
    <t>Structured dual-column XML prompt. Includes IMPORTANT REMINDERS section reinforcing all-variable requirement.</t>
  </si>
  <si>
    <t>Dual-column output requires explicit instruction to answer every variable AND provide descriptive detail. Reminders reduce omissions.</t>
  </si>
  <si>
    <t>In Progress</t>
  </si>
  <si>
    <t>Analyze this historical text. Extract ALL 16 fields. Return ONLY a JSON object with all 16 fields. No markdown.
{text}</t>
  </si>
  <si>
    <t>Minimal UP for v5.0 manufacturing run. All codebook rules in SP-V5MFG; UP just passes text.</t>
  </si>
  <si>
    <t>At temperature=0.0, SP rules are followed consistently. Short UP reduces token overhead at scale.</t>
  </si>
  <si>
    <t>Model Reference — Common LLMs, Parameters &amp; Approximate Pricing</t>
  </si>
  <si>
    <t>Pricing and specifications change frequently. Always verify at the provider's official pricing page before logging costs.</t>
  </si>
  <si>
    <t>Provider</t>
  </si>
  <si>
    <t>Type
(Open/Closed)</t>
  </si>
  <si>
    <t>Deployment</t>
  </si>
  <si>
    <t>Context
Window (K tokens)</t>
  </si>
  <si>
    <t>Input Cost
($/1M tokens)</t>
  </si>
  <si>
    <t>Output Cost
($/1M tokens)</t>
  </si>
  <si>
    <t>Default
Temp.</t>
  </si>
  <si>
    <t>Seed
Support?</t>
  </si>
  <si>
    <t>Notes</t>
  </si>
  <si>
    <t>gpt-4o-2024-08-06</t>
  </si>
  <si>
    <t>OpenAI</t>
  </si>
  <si>
    <t>128</t>
  </si>
  <si>
    <t>2.50</t>
  </si>
  <si>
    <t>10.00</t>
  </si>
  <si>
    <t>Latest GPT-4o checkpoint. Strong reasoning and vision.</t>
  </si>
  <si>
    <t>gpt-4o-mini</t>
  </si>
  <si>
    <t>0.15</t>
  </si>
  <si>
    <t>0.60</t>
  </si>
  <si>
    <t>Cheaper, faster. Good for high-volume tasks.</t>
  </si>
  <si>
    <t>o1</t>
  </si>
  <si>
    <t>200</t>
  </si>
  <si>
    <t>15.00</t>
  </si>
  <si>
    <t>60.00</t>
  </si>
  <si>
    <t>Optimised for complex reasoning. Slower.</t>
  </si>
  <si>
    <t>3.00</t>
  </si>
  <si>
    <t>Strong at analysis, code, long documents.</t>
  </si>
  <si>
    <t>0.25</t>
  </si>
  <si>
    <t>1.25</t>
  </si>
  <si>
    <t>Fast and cheap. Good for classification tasks.</t>
  </si>
  <si>
    <t>gemini-2.0-flash</t>
  </si>
  <si>
    <t>Google</t>
  </si>
  <si>
    <t>0.10</t>
  </si>
  <si>
    <t>0.40</t>
  </si>
  <si>
    <t>Very long context. Good multimodal support.</t>
  </si>
  <si>
    <t>gemini-1.5-pro</t>
  </si>
  <si>
    <t>2000</t>
  </si>
  <si>
    <t>5.00</t>
  </si>
  <si>
    <t>Largest context window. Document-heavy tasks.</t>
  </si>
  <si>
    <t>mistral-small-latest</t>
  </si>
  <si>
    <t>Mistral</t>
  </si>
  <si>
    <t>32</t>
  </si>
  <si>
    <t>0.30</t>
  </si>
  <si>
    <t>Cost-effective European model.</t>
  </si>
  <si>
    <t>llama3.1:8b</t>
  </si>
  <si>
    <t>Meta / Ollama</t>
  </si>
  <si>
    <t>Open</t>
  </si>
  <si>
    <t>Local</t>
  </si>
  <si>
    <t>Free</t>
  </si>
  <si>
    <t>Run locally via Ollama. Good for experimentation.</t>
  </si>
  <si>
    <t>llama3.1:70b</t>
  </si>
  <si>
    <t>Larger local model. Requires significant GPU VRAM.</t>
  </si>
  <si>
    <t>llama3.3:70b</t>
  </si>
  <si>
    <t>Updated Llama 3.3 — improved instruction following.</t>
  </si>
  <si>
    <t>mistral:7b</t>
  </si>
  <si>
    <t>Mistral / Ollama</t>
  </si>
  <si>
    <t>Popular open model for local use.</t>
  </si>
  <si>
    <t>phi4</t>
  </si>
  <si>
    <t>Microsoft / Ollama</t>
  </si>
  <si>
    <t>16</t>
  </si>
  <si>
    <t>Small but capable. Good for resource-limited machines.</t>
  </si>
  <si>
    <t>gemma2:9b</t>
  </si>
  <si>
    <t>Google / Ollama</t>
  </si>
  <si>
    <t>8</t>
  </si>
  <si>
    <t>Google open model. Runs well on consumer hardware.</t>
  </si>
  <si>
    <t>deepseek-r1:14b</t>
  </si>
  <si>
    <t>DeepSeek / Ollama</t>
  </si>
  <si>
    <t>64</t>
  </si>
  <si>
    <t>Reasoning-focused open model.</t>
  </si>
  <si>
    <t>qwen2.5:14b</t>
  </si>
  <si>
    <t>Alibaba / Ollama</t>
  </si>
  <si>
    <t>Strong multilingual capabilities.</t>
  </si>
  <si>
    <t>Prices shown are approximate as of early 2025. Check openai.com/pricing, anthropic.com/pricing, and ai.google.dev/pricing for current rates. Local models are free to run but require suitable hardware (GPU recommended for 7B+ models).</t>
  </si>
  <si>
    <t>Used Co-DETECT R001–R002 (beads). Fast, cheap. Hit analytical ceiling for nuanced historical coding. 25%→40% agreement. Retired.</t>
  </si>
  <si>
    <t>Co-DETECT R003 (beads). 55% agreement with v3.0 codebook. Model now retired by Anthropic.</t>
  </si>
  <si>
    <t>Co-DETECT R004 (validation) + R006-A (Munashe). 73% agreement with v4.0. R006-A: 1,453 rows at 100% success, $12.43. Codebook DOI: 10.5281/zenodo.14550112.</t>
  </si>
  <si>
    <t>0.80</t>
  </si>
  <si>
    <t>4.00</t>
  </si>
  <si>
    <t>PRIMARY PRODUCTION MODEL: Co-DETECT 27k run (R005-S01–S14). Temperature=0. JSON output, 13-field schema. ~15x cheaper than Sonnet at 27k scale. Colab: https://colab.research.google.com/drive/1YjDTtZxzkvjMcaL6Eyh68j-Bl3u8WwiX</t>
  </si>
  <si>
    <t>MANUFACTURING + STRUCTURED RUNS: R007 (v5.0 manufacturing, JSON, 16 fields) + R006-B (structured dual-column XML, temperature 0.2). GitHub: https://github.com/laurencoetzee001/Beads_Co-detect</t>
  </si>
  <si>
    <t>Auto-calculated from the Experiment Log. Do not edit this sheet.</t>
  </si>
  <si>
    <t>Experiment Overview</t>
  </si>
  <si>
    <t>Total runs logged</t>
  </si>
  <si>
    <t>Unique models tested</t>
  </si>
  <si>
    <t>Cost Tracking</t>
  </si>
  <si>
    <t>Total cost (USD)</t>
  </si>
  <si>
    <t>Average cost per run (USD)</t>
  </si>
  <si>
    <t>Token Usage</t>
  </si>
  <si>
    <t>Total input tokens</t>
  </si>
  <si>
    <t>Total output tokens</t>
  </si>
  <si>
    <t>Total tokens (all runs)</t>
  </si>
  <si>
    <t>Average tokens per run</t>
  </si>
  <si>
    <t>Quality &amp; Outcomes</t>
  </si>
  <si>
    <t>Average quality rating (1–5)</t>
  </si>
  <si>
    <t>Runs rated 4 or 5 (Good/Excellent)</t>
  </si>
  <si>
    <t>Runs meeting success criteria (Yes)</t>
  </si>
  <si>
    <t>Runs with partial success</t>
  </si>
  <si>
    <t>Flags &amp; Ethics</t>
  </si>
  <si>
    <t>Runs with hallucinations noted (Yes)</t>
  </si>
  <si>
    <t>Runs with bias observed</t>
  </si>
  <si>
    <t>Runs using sensitive data (Yes)</t>
  </si>
  <si>
    <t>This dashboard reads directly from your Experiment Log. Add or edit data there, then return here to review totals.</t>
  </si>
  <si>
    <t>PROJECT: Co-DETECT Beads — Dynamic Economic Institutions in Precolonial Africa, 1500–1900
RESEARCHER: Lauren Coetzee | C²DH, University of Luxembourg | Supervised by Marten Düring
GITHUB: https://github.com/laurencoetzee001/Beads_Co-detect
CORPUS DATASETS:
  Main corpus: All_entries_beads_cleaned.xlsx — 27,060 observations (Time Traveller Project)
  Validation dataset: Munashe_Cleaned.xlsx — 1,453 observations (separate provenance)
MODEL PROGRESSION:
  Development (R001–R003): claude-3-haiku-20240307 → claude-3-sonnet-20240229
  Validation (R004, R006-A): claude-3-5-sonnet-20241022 | 73% agreement (v4.0) | 100% success (Munashe)
  Production 27k (R005): claude-haiku-4-5-20251001 | temperature=0 | JSON | 14 sessions × 2000 rows
  Manufacturing (R007): claude-sonnet-4-20250514 | temperature=0 | JSON | 16 fields
  Structured V3 (R006-B): claude-sonnet-4-20250514 | temperature=0.2 | XML dual-column | 49 fields
CODEBOOK v4.0 (Zenodo): https://doi.org/10.5281/zenodo.14550112
PRODUCTION COLAB: https://colab.research.google.com/drive/1YjDTtZxzkvjMcaL6Eyh68j-Bl3u8WwiX
EXPERT EDGE CASE COLAB: https://colab.research.google.com/github/laurencoetzee001/Beads_Co-detect/blob/main/expert_edgecase_codebook__integrated.ipynb
KEY OUTPUT FILES:
  27k JSON coded: /content/drive/MyDrive/bead_coding_27k_production/batch_01 through batch_14
  Munashe coded: /content/drive/MyDrive/bead_annotation/session_2025-08-12_14-35-02/coded_entries_final.xlsx
  Manufacturing v5: /content/drive/MyDrive/Bead_Analysis_v5_Results/CODED_with_manufacturing_v5_20260126.csv
  Final analysis dataset: /content/drive/MyDrive/Bead_Analysis_v5_Results/FINAL_with_ethnographic_data_20260128_075612.xlsx
  36,172 rows × 117 columns (after Murdock join)
⚠ GOOGLE DRIVE MCP not connected — connect Drive connector to pull live timestamps and file links.
🔴 SECURITY: API key was hard-coded in earlier scripts — key has been rotated. Use Colab Secrets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</si>
</sst>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5" x14ac:knownFonts="1">
    <font>
      <sz val="11"/>
      <color theme="1"/>
      <name val="Calibri"/>
      <family val="2"/>
      <charset val="1"/>
    </font>
    <font>
      <sz val="10"/>
      <name val="Arial"/>
      <family val="2"/>
    </font>
    <font>
      <b/>
      <sz val="16"/>
      <color rgb="FFFFFFFF"/>
      <name val="Arial"/>
      <family val="2"/>
      <charset val="1"/>
    </font>
    <font>
      <i/>
      <sz val="10"/>
      <color rgb="FF555555"/>
      <name val="Arial"/>
      <family val="2"/>
    </font>
    <font>
      <b/>
      <sz val="11"/>
      <color rgb="FFFFFFFF"/>
      <name val="Arial"/>
      <family val="2"/>
    </font>
    <font>
      <b/>
      <sz val="10"/>
      <color rgb="FF000000"/>
      <name val="Arial"/>
      <family val="2"/>
    </font>
    <font>
      <sz val="10"/>
      <color rgb="FF000000"/>
      <name val="Arial"/>
      <family val="2"/>
      <charset val="1"/>
    </font>
    <font>
      <sz val="10"/>
      <color rgb="FF000000"/>
      <name val="Arial"/>
      <family val="2"/>
    </font>
    <font>
      <b/>
      <sz val="10"/>
      <color rgb="FF000000"/>
      <name val="Arial"/>
      <family val="2"/>
      <charset val="1"/>
    </font>
    <font>
      <b/>
      <sz val="10"/>
      <color rgb="FFFFFFFF"/>
      <name val="Arial"/>
      <family val="2"/>
    </font>
    <font>
      <b/>
      <sz val="9"/>
      <color rgb="FF1F3864"/>
      <name val="Arial"/>
      <family val="2"/>
    </font>
    <font>
      <i/>
      <sz val="8"/>
      <color rgb="FF888888"/>
      <name val="Arial"/>
      <family val="2"/>
    </font>
    <font>
      <i/>
      <sz val="9"/>
      <color rgb="FFB8860B"/>
      <name val="Arial"/>
      <family val="2"/>
    </font>
    <font>
      <i/>
      <sz val="9"/>
      <color rgb="FF000000"/>
      <name val="Arial"/>
      <family val="2"/>
    </font>
    <font>
      <sz val="9"/>
      <name val="Arial"/>
      <family val="2"/>
    </font>
    <font>
      <b/>
      <sz val="13"/>
      <color rgb="FFFFFFFF"/>
      <name val="Arial"/>
      <family val="2"/>
      <charset val="1"/>
    </font>
    <font>
      <b/>
      <sz val="12"/>
      <color rgb="FFFFFFFF"/>
      <name val="Arial"/>
      <family val="2"/>
      <charset val="1"/>
    </font>
    <font>
      <i/>
      <sz val="9"/>
      <color rgb="FFB71C1C"/>
      <name val="Arial"/>
      <family val="2"/>
      <charset val="1"/>
    </font>
    <font>
      <sz val="9"/>
      <color rgb="FF000000"/>
      <name val="Arial"/>
      <family val="2"/>
    </font>
    <font>
      <i/>
      <sz val="8"/>
      <color rgb="FF555555"/>
      <name val="Arial"/>
      <family val="2"/>
    </font>
    <font>
      <b/>
      <sz val="14"/>
      <color rgb="FFFFFFFF"/>
      <name val="Arial"/>
      <family val="2"/>
      <charset val="1"/>
    </font>
    <font>
      <i/>
      <sz val="9"/>
      <color rgb="FF555555"/>
      <name val="Arial"/>
      <family val="2"/>
    </font>
    <font>
      <b/>
      <sz val="10"/>
      <color rgb="FFFFFFFF"/>
      <name val="Arial"/>
      <family val="2"/>
      <charset val="1"/>
    </font>
    <font>
      <b/>
      <sz val="10"/>
      <color rgb="FF1F3864"/>
      <name val="Arial"/>
      <family val="2"/>
    </font>
    <font>
      <i/>
      <sz val="9"/>
      <color rgb="FF555555"/>
      <name val="Arial"/>
      <family val="2"/>
      <charset val="1"/>
    </font>
  </fonts>
  <fills count="31">
    <fill>
      <patternFill patternType="none"/>
    </fill>
    <fill>
      <patternFill patternType="gray125"/>
    </fill>
    <fill>
      <patternFill patternType="solid">
        <fgColor rgb="FF1F3864"/>
        <bgColor rgb="FF37474F"/>
      </patternFill>
    </fill>
    <fill>
      <patternFill patternType="solid">
        <fgColor rgb="FFEAF1FB"/>
        <bgColor rgb="FFE3F2FD"/>
      </patternFill>
    </fill>
    <fill>
      <patternFill patternType="solid">
        <fgColor rgb="FF2E75B6"/>
        <bgColor rgb="FF1565C0"/>
      </patternFill>
    </fill>
    <fill>
      <patternFill patternType="solid">
        <fgColor rgb="FFD6E4F0"/>
        <bgColor rgb="FFDBEAFE"/>
      </patternFill>
    </fill>
    <fill>
      <patternFill patternType="solid">
        <fgColor rgb="FFFFFFFF"/>
        <bgColor rgb="FFFAFAFA"/>
      </patternFill>
    </fill>
    <fill>
      <patternFill patternType="solid">
        <fgColor rgb="FF2E7D32"/>
        <bgColor rgb="FF008000"/>
      </patternFill>
    </fill>
    <fill>
      <patternFill patternType="solid">
        <fgColor rgb="FF6A1B9A"/>
        <bgColor rgb="FF800080"/>
      </patternFill>
    </fill>
    <fill>
      <patternFill patternType="solid">
        <fgColor rgb="FFE65100"/>
        <bgColor rgb="FFB8860B"/>
      </patternFill>
    </fill>
    <fill>
      <patternFill patternType="solid">
        <fgColor rgb="FF1565C0"/>
        <bgColor rgb="FF2E75B6"/>
      </patternFill>
    </fill>
    <fill>
      <patternFill patternType="solid">
        <fgColor rgb="FFB71C1C"/>
        <bgColor rgb="FF993366"/>
      </patternFill>
    </fill>
    <fill>
      <patternFill patternType="solid">
        <fgColor rgb="FF37474F"/>
        <bgColor rgb="FF1F3864"/>
      </patternFill>
    </fill>
    <fill>
      <patternFill patternType="solid">
        <fgColor rgb="FFDBEAFE"/>
        <bgColor rgb="FFD6E4F0"/>
      </patternFill>
    </fill>
    <fill>
      <patternFill patternType="solid">
        <fgColor rgb="FFE8F5E9"/>
        <bgColor rgb="FFF1F8E9"/>
      </patternFill>
    </fill>
    <fill>
      <patternFill patternType="solid">
        <fgColor rgb="FFF3E5F5"/>
        <bgColor rgb="FFEDE7F6"/>
      </patternFill>
    </fill>
    <fill>
      <patternFill patternType="solid">
        <fgColor rgb="FFFFF3CD"/>
        <bgColor rgb="FFFFF3E0"/>
      </patternFill>
    </fill>
    <fill>
      <patternFill patternType="solid">
        <fgColor rgb="FFE2EFDA"/>
        <bgColor rgb="FFE8F5E9"/>
      </patternFill>
    </fill>
    <fill>
      <patternFill patternType="solid">
        <fgColor rgb="FFEDE7F6"/>
        <bgColor rgb="FFF3E5F5"/>
      </patternFill>
    </fill>
    <fill>
      <patternFill patternType="solid">
        <fgColor rgb="FFF9F9F9"/>
        <bgColor rgb="FFFAFAFA"/>
      </patternFill>
    </fill>
    <fill>
      <patternFill patternType="solid">
        <fgColor rgb="FFFFFDE7"/>
        <bgColor rgb="FFFFF8E1"/>
      </patternFill>
    </fill>
    <fill>
      <patternFill patternType="solid">
        <fgColor rgb="FFF5F5F5"/>
        <bgColor rgb="FFF9F9F9"/>
      </patternFill>
    </fill>
    <fill>
      <patternFill patternType="solid">
        <fgColor rgb="FFF7FBFF"/>
        <bgColor rgb="FFFAFAFA"/>
      </patternFill>
    </fill>
    <fill>
      <patternFill patternType="solid">
        <fgColor rgb="FFFAFAFA"/>
        <bgColor rgb="FFF9F9F9"/>
      </patternFill>
    </fill>
    <fill>
      <patternFill patternType="solid">
        <fgColor rgb="FFFFEBEE"/>
        <bgColor rgb="FFFBE9E7"/>
      </patternFill>
    </fill>
    <fill>
      <patternFill patternType="solid">
        <fgColor rgb="FFE3F2FD"/>
        <bgColor rgb="FFEAF1FB"/>
      </patternFill>
    </fill>
    <fill>
      <patternFill patternType="solid">
        <fgColor rgb="FFFFF8E1"/>
        <bgColor rgb="FFFFF3E0"/>
      </patternFill>
    </fill>
    <fill>
      <patternFill patternType="solid">
        <fgColor rgb="FFFBE9E7"/>
        <bgColor rgb="FFFFEBEE"/>
      </patternFill>
    </fill>
    <fill>
      <patternFill patternType="solid">
        <fgColor rgb="FFFFF3E0"/>
        <bgColor rgb="FFFFF8E1"/>
      </patternFill>
    </fill>
    <fill>
      <patternFill patternType="solid">
        <fgColor rgb="FFE0F2F1"/>
        <bgColor rgb="FFE3F2FD"/>
      </patternFill>
    </fill>
    <fill>
      <patternFill patternType="solid">
        <fgColor rgb="FFF1F8E9"/>
        <bgColor rgb="FFF5F5F5"/>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70">
    <xf numFmtId="0" fontId="0" fillId="0" borderId="0" xfId="0"/>
    <xf numFmtId="0" fontId="16" fillId="2" borderId="0" xfId="0" applyFont="1" applyFill="1" applyAlignment="1">
      <alignment horizontal="center" vertical="center"/>
    </xf>
    <xf numFmtId="0" fontId="15" fillId="8" borderId="0" xfId="0" applyFont="1" applyFill="1" applyAlignment="1">
      <alignment horizontal="center" vertical="center"/>
    </xf>
    <xf numFmtId="0" fontId="9" fillId="12" borderId="0" xfId="0" applyFont="1" applyFill="1" applyAlignment="1">
      <alignment horizontal="center" vertical="center"/>
    </xf>
    <xf numFmtId="0" fontId="9" fillId="11" borderId="0" xfId="0" applyFont="1" applyFill="1" applyAlignment="1">
      <alignment horizontal="center" vertical="center"/>
    </xf>
    <xf numFmtId="0" fontId="9" fillId="10" borderId="0" xfId="0" applyFont="1" applyFill="1" applyAlignment="1">
      <alignment horizontal="center" vertical="center"/>
    </xf>
    <xf numFmtId="0" fontId="9" fillId="9" borderId="0" xfId="0" applyFont="1" applyFill="1" applyAlignment="1">
      <alignment horizontal="center" vertical="center"/>
    </xf>
    <xf numFmtId="0" fontId="9" fillId="8" borderId="0" xfId="0" applyFont="1" applyFill="1" applyAlignment="1">
      <alignment horizontal="center" vertical="center"/>
    </xf>
    <xf numFmtId="0" fontId="9" fillId="7" borderId="0" xfId="0" applyFont="1" applyFill="1" applyAlignment="1">
      <alignment horizontal="center" vertical="center"/>
    </xf>
    <xf numFmtId="0" fontId="9" fillId="4" borderId="0" xfId="0" applyFont="1" applyFill="1" applyAlignment="1">
      <alignment horizontal="center" vertical="center"/>
    </xf>
    <xf numFmtId="0" fontId="9" fillId="2" borderId="0" xfId="0" applyFont="1" applyFill="1" applyAlignment="1">
      <alignment horizontal="center" vertical="center"/>
    </xf>
    <xf numFmtId="0" fontId="4" fillId="4" borderId="1" xfId="0" applyFont="1" applyFill="1" applyBorder="1" applyAlignment="1">
      <alignment horizontal="center" vertical="center"/>
    </xf>
    <xf numFmtId="0" fontId="4" fillId="4" borderId="0" xfId="0" applyFont="1" applyFill="1" applyAlignment="1">
      <alignment horizontal="center" vertical="center"/>
    </xf>
    <xf numFmtId="0" fontId="3" fillId="3" borderId="0" xfId="0" applyFont="1" applyFill="1" applyAlignment="1">
      <alignment horizontal="center" vertical="center"/>
    </xf>
    <xf numFmtId="0" fontId="2" fillId="2" borderId="0" xfId="0" applyFont="1" applyFill="1" applyAlignment="1">
      <alignment horizontal="center" vertical="center"/>
    </xf>
    <xf numFmtId="0" fontId="5" fillId="5" borderId="1" xfId="0" applyFont="1" applyFill="1" applyBorder="1" applyAlignment="1">
      <alignment horizontal="left" vertical="center"/>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0" fillId="0" borderId="1" xfId="0" applyBorder="1"/>
    <xf numFmtId="0" fontId="8" fillId="5" borderId="1" xfId="0" applyFont="1" applyFill="1" applyBorder="1" applyAlignment="1">
      <alignment horizontal="left" vertical="center"/>
    </xf>
    <xf numFmtId="0" fontId="10" fillId="5"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10" fillId="18" borderId="1" xfId="0" applyFont="1" applyFill="1" applyBorder="1" applyAlignment="1">
      <alignment horizontal="center" vertical="center" wrapText="1"/>
    </xf>
    <xf numFmtId="0" fontId="11" fillId="19" borderId="1" xfId="0" applyFont="1" applyFill="1" applyBorder="1" applyAlignment="1">
      <alignment horizontal="center" vertical="center"/>
    </xf>
    <xf numFmtId="0" fontId="12" fillId="20" borderId="1" xfId="0" applyFont="1" applyFill="1" applyBorder="1" applyAlignment="1">
      <alignment vertical="top" wrapText="1"/>
    </xf>
    <xf numFmtId="0" fontId="13" fillId="20" borderId="1" xfId="0" applyFont="1" applyFill="1" applyBorder="1" applyAlignment="1">
      <alignment vertical="top" wrapText="1"/>
    </xf>
    <xf numFmtId="0" fontId="12" fillId="6" borderId="1" xfId="0" applyFont="1" applyFill="1" applyBorder="1" applyAlignment="1">
      <alignment vertical="top" wrapText="1"/>
    </xf>
    <xf numFmtId="0" fontId="13" fillId="6" borderId="1" xfId="0" applyFont="1" applyFill="1" applyBorder="1" applyAlignment="1">
      <alignment vertical="top" wrapText="1"/>
    </xf>
    <xf numFmtId="0" fontId="13" fillId="21" borderId="1" xfId="0" applyFont="1" applyFill="1" applyBorder="1" applyAlignment="1">
      <alignment vertical="top" wrapText="1"/>
    </xf>
    <xf numFmtId="0" fontId="12" fillId="22" borderId="1" xfId="0" applyFont="1" applyFill="1" applyBorder="1" applyAlignment="1">
      <alignment vertical="top" wrapText="1"/>
    </xf>
    <xf numFmtId="0" fontId="13" fillId="22" borderId="1" xfId="0" applyFont="1" applyFill="1" applyBorder="1" applyAlignment="1">
      <alignment vertical="top" wrapText="1"/>
    </xf>
    <xf numFmtId="0" fontId="14" fillId="6" borderId="1" xfId="0" applyFont="1" applyFill="1" applyBorder="1" applyAlignment="1">
      <alignment horizontal="left" vertical="center" wrapText="1"/>
    </xf>
    <xf numFmtId="0" fontId="14" fillId="21" borderId="1" xfId="0" applyFont="1" applyFill="1" applyBorder="1" applyAlignment="1">
      <alignment horizontal="left" vertical="center" wrapText="1"/>
    </xf>
    <xf numFmtId="0" fontId="14" fillId="22" borderId="1" xfId="0" applyFont="1" applyFill="1" applyBorder="1" applyAlignment="1">
      <alignment horizontal="left" vertical="center" wrapText="1"/>
    </xf>
    <xf numFmtId="0" fontId="13" fillId="23" borderId="1" xfId="0" applyFont="1" applyFill="1" applyBorder="1" applyAlignment="1">
      <alignment vertical="top" wrapText="1"/>
    </xf>
    <xf numFmtId="0" fontId="14" fillId="22" borderId="1" xfId="0" applyFont="1" applyFill="1" applyBorder="1" applyAlignment="1">
      <alignment vertical="center" wrapText="1"/>
    </xf>
    <xf numFmtId="0" fontId="14" fillId="6" borderId="1" xfId="0" applyFont="1" applyFill="1" applyBorder="1" applyAlignment="1">
      <alignment vertical="center" wrapText="1"/>
    </xf>
    <xf numFmtId="0" fontId="18" fillId="25" borderId="1" xfId="0" applyFont="1" applyFill="1" applyBorder="1" applyAlignment="1">
      <alignment horizontal="left" vertical="center" wrapText="1"/>
    </xf>
    <xf numFmtId="0" fontId="18" fillId="15" borderId="1" xfId="0" applyFont="1" applyFill="1" applyBorder="1" applyAlignment="1">
      <alignment horizontal="left" vertical="center" wrapText="1"/>
    </xf>
    <xf numFmtId="0" fontId="18" fillId="14" borderId="1" xfId="0" applyFont="1" applyFill="1" applyBorder="1" applyAlignment="1">
      <alignment horizontal="left" vertical="center" wrapText="1"/>
    </xf>
    <xf numFmtId="0" fontId="18" fillId="26" borderId="1" xfId="0" applyFont="1" applyFill="1" applyBorder="1" applyAlignment="1">
      <alignment horizontal="left" vertical="center" wrapText="1"/>
    </xf>
    <xf numFmtId="0" fontId="18" fillId="27" borderId="1" xfId="0" applyFont="1" applyFill="1" applyBorder="1" applyAlignment="1">
      <alignment horizontal="left" vertical="center" wrapText="1"/>
    </xf>
    <xf numFmtId="0" fontId="18" fillId="28" borderId="1" xfId="0" applyFont="1" applyFill="1" applyBorder="1" applyAlignment="1">
      <alignment horizontal="left" vertical="center" wrapText="1"/>
    </xf>
    <xf numFmtId="0" fontId="18" fillId="29" borderId="1" xfId="0" applyFont="1" applyFill="1" applyBorder="1" applyAlignment="1">
      <alignment horizontal="left" vertical="center" wrapText="1"/>
    </xf>
    <xf numFmtId="0" fontId="18" fillId="30" borderId="1" xfId="0" applyFont="1" applyFill="1" applyBorder="1" applyAlignment="1">
      <alignment horizontal="left" vertical="center" wrapText="1"/>
    </xf>
    <xf numFmtId="0" fontId="18" fillId="18" borderId="1" xfId="0" applyFont="1" applyFill="1" applyBorder="1" applyAlignment="1">
      <alignment horizontal="left" vertical="center" wrapText="1"/>
    </xf>
    <xf numFmtId="0" fontId="18" fillId="20" borderId="1" xfId="0" applyFont="1" applyFill="1" applyBorder="1" applyAlignment="1">
      <alignment horizontal="left" vertical="center" wrapText="1"/>
    </xf>
    <xf numFmtId="0" fontId="18" fillId="0" borderId="1" xfId="0" applyFont="1" applyBorder="1" applyAlignment="1">
      <alignment vertical="top" wrapText="1"/>
    </xf>
    <xf numFmtId="0" fontId="23" fillId="3" borderId="1" xfId="0" applyFont="1" applyFill="1" applyBorder="1" applyAlignment="1">
      <alignment horizontal="center" vertical="center"/>
    </xf>
    <xf numFmtId="164" fontId="23" fillId="16" borderId="1" xfId="0" applyNumberFormat="1" applyFont="1" applyFill="1" applyBorder="1" applyAlignment="1">
      <alignment horizontal="center" vertical="center"/>
    </xf>
    <xf numFmtId="3" fontId="23" fillId="3" borderId="1" xfId="0" applyNumberFormat="1" applyFont="1" applyFill="1" applyBorder="1" applyAlignment="1">
      <alignment horizontal="center" vertical="center"/>
    </xf>
    <xf numFmtId="3" fontId="23" fillId="13" borderId="1" xfId="0" applyNumberFormat="1" applyFont="1" applyFill="1" applyBorder="1" applyAlignment="1">
      <alignment horizontal="center" vertical="center"/>
    </xf>
    <xf numFmtId="165" fontId="23" fillId="17" borderId="1" xfId="0" applyNumberFormat="1" applyFont="1" applyFill="1" applyBorder="1" applyAlignment="1">
      <alignment horizontal="center" vertical="center"/>
    </xf>
    <xf numFmtId="0" fontId="23" fillId="17" borderId="1" xfId="0" applyFont="1" applyFill="1" applyBorder="1" applyAlignment="1">
      <alignment horizontal="center" vertical="center"/>
    </xf>
    <xf numFmtId="0" fontId="23" fillId="24" borderId="1" xfId="0" applyFont="1" applyFill="1" applyBorder="1" applyAlignment="1">
      <alignment horizontal="center" vertical="center"/>
    </xf>
    <xf numFmtId="0" fontId="0" fillId="0" borderId="0" xfId="0" applyAlignment="1">
      <alignment vertical="top" wrapText="1"/>
    </xf>
    <xf numFmtId="0" fontId="17" fillId="24" borderId="0" xfId="0" applyFont="1" applyFill="1" applyAlignment="1">
      <alignment horizontal="center" vertical="center"/>
    </xf>
    <xf numFmtId="0" fontId="19" fillId="19" borderId="0" xfId="0" applyFont="1" applyFill="1" applyAlignment="1">
      <alignment horizontal="left" vertical="center" wrapText="1"/>
    </xf>
    <xf numFmtId="0" fontId="20" fillId="2" borderId="0" xfId="0" applyFont="1" applyFill="1" applyAlignment="1">
      <alignment horizontal="center" vertical="center"/>
    </xf>
    <xf numFmtId="0" fontId="21" fillId="3" borderId="0" xfId="0" applyFont="1" applyFill="1" applyAlignment="1">
      <alignment horizontal="center" vertical="center"/>
    </xf>
    <xf numFmtId="0" fontId="22" fillId="4" borderId="0" xfId="0" applyFont="1" applyFill="1" applyAlignment="1">
      <alignment horizontal="center" vertical="center"/>
    </xf>
    <xf numFmtId="0" fontId="22" fillId="9" borderId="0" xfId="0" applyFont="1" applyFill="1" applyAlignment="1">
      <alignment horizontal="center" vertical="center"/>
    </xf>
    <xf numFmtId="0" fontId="22" fillId="10" borderId="0" xfId="0" applyFont="1" applyFill="1" applyAlignment="1">
      <alignment horizontal="center" vertical="center"/>
    </xf>
    <xf numFmtId="0" fontId="22" fillId="7" borderId="0" xfId="0" applyFont="1" applyFill="1" applyAlignment="1">
      <alignment horizontal="center" vertical="center"/>
    </xf>
    <xf numFmtId="0" fontId="22" fillId="11" borderId="0" xfId="0" applyFont="1" applyFill="1" applyAlignment="1">
      <alignment horizontal="center" vertical="center"/>
    </xf>
    <xf numFmtId="0" fontId="24" fillId="19"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3E0"/>
      <rgbColor rgb="FFFF00FF"/>
      <rgbColor rgb="FFFAFAFA"/>
      <rgbColor rgb="FF800000"/>
      <rgbColor rgb="FF008000"/>
      <rgbColor rgb="FF000080"/>
      <rgbColor rgb="FFB8860B"/>
      <rgbColor rgb="FF6A1B9A"/>
      <rgbColor rgb="FF008080"/>
      <rgbColor rgb="FFBDBDBD"/>
      <rgbColor rgb="FF888888"/>
      <rgbColor rgb="FFEAF1FB"/>
      <rgbColor rgb="FF993366"/>
      <rgbColor rgb="FFFFF8E1"/>
      <rgbColor rgb="FFE0F2F1"/>
      <rgbColor rgb="FF660066"/>
      <rgbColor rgb="FFF5F5F5"/>
      <rgbColor rgb="FF1565C0"/>
      <rgbColor rgb="FFD6E4F0"/>
      <rgbColor rgb="FF000080"/>
      <rgbColor rgb="FFFF00FF"/>
      <rgbColor rgb="FFFFFDE7"/>
      <rgbColor rgb="FF00FFFF"/>
      <rgbColor rgb="FF800080"/>
      <rgbColor rgb="FF800000"/>
      <rgbColor rgb="FF008080"/>
      <rgbColor rgb="FF0000FF"/>
      <rgbColor rgb="FF00CCFF"/>
      <rgbColor rgb="FFE3F2FD"/>
      <rgbColor rgb="FFE2EFDA"/>
      <rgbColor rgb="FFFFF3CD"/>
      <rgbColor rgb="FFDBEAFE"/>
      <rgbColor rgb="FFF3E5F5"/>
      <rgbColor rgb="FFEDE7F6"/>
      <rgbColor rgb="FFFBE9E7"/>
      <rgbColor rgb="FF2E75B6"/>
      <rgbColor rgb="FFF7FBFF"/>
      <rgbColor rgb="FFF1F8E9"/>
      <rgbColor rgb="FFFFEBEE"/>
      <rgbColor rgb="FFF9F9F9"/>
      <rgbColor rgb="FFE65100"/>
      <rgbColor rgb="FF555555"/>
      <rgbColor rgb="FFE8F5E9"/>
      <rgbColor rgb="FF1F3864"/>
      <rgbColor rgb="FF2E7D32"/>
      <rgbColor rgb="FF003300"/>
      <rgbColor rgb="FF333300"/>
      <rgbColor rgb="FFB71C1C"/>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2"/>
  <sheetViews>
    <sheetView showGridLines="0" zoomScaleNormal="100" workbookViewId="0">
      <selection activeCell="F17" sqref="F17"/>
    </sheetView>
  </sheetViews>
  <sheetFormatPr baseColWidth="10" defaultColWidth="8.6640625" defaultRowHeight="15" x14ac:dyDescent="0.2"/>
  <cols>
    <col min="1" max="1" width="3" customWidth="1"/>
    <col min="2" max="2" width="28" customWidth="1"/>
    <col min="3" max="3" width="70" customWidth="1"/>
    <col min="4" max="4" width="3" customWidth="1"/>
  </cols>
  <sheetData>
    <row r="1" spans="2:3" ht="36" customHeight="1" x14ac:dyDescent="0.2">
      <c r="B1" s="14" t="s">
        <v>0</v>
      </c>
      <c r="C1" s="14"/>
    </row>
    <row r="2" spans="2:3" ht="21.75" customHeight="1" x14ac:dyDescent="0.2">
      <c r="B2" s="13" t="s">
        <v>1</v>
      </c>
      <c r="C2" s="13"/>
    </row>
    <row r="3" spans="2:3" ht="7.5" customHeight="1" x14ac:dyDescent="0.2"/>
    <row r="4" spans="2:3" ht="21.75" customHeight="1" x14ac:dyDescent="0.2">
      <c r="B4" s="12" t="s">
        <v>2</v>
      </c>
      <c r="C4" s="12"/>
    </row>
    <row r="5" spans="2:3" ht="48" customHeight="1" x14ac:dyDescent="0.2">
      <c r="B5" s="15" t="s">
        <v>3</v>
      </c>
      <c r="C5" s="16" t="s">
        <v>4</v>
      </c>
    </row>
    <row r="6" spans="2:3" ht="48" customHeight="1" x14ac:dyDescent="0.2">
      <c r="B6" s="15" t="s">
        <v>5</v>
      </c>
      <c r="C6" s="17" t="s">
        <v>6</v>
      </c>
    </row>
    <row r="7" spans="2:3" ht="48" customHeight="1" x14ac:dyDescent="0.2">
      <c r="B7" s="15" t="s">
        <v>7</v>
      </c>
      <c r="C7" s="17" t="s">
        <v>8</v>
      </c>
    </row>
    <row r="8" spans="2:3" ht="7.5" customHeight="1" x14ac:dyDescent="0.2">
      <c r="B8" s="18"/>
      <c r="C8" s="18"/>
    </row>
    <row r="9" spans="2:3" ht="21.75" customHeight="1" x14ac:dyDescent="0.2">
      <c r="B9" s="11" t="s">
        <v>9</v>
      </c>
      <c r="C9" s="11"/>
    </row>
    <row r="10" spans="2:3" ht="36" customHeight="1" x14ac:dyDescent="0.2">
      <c r="B10" s="19" t="s">
        <v>10</v>
      </c>
      <c r="C10" s="17" t="s">
        <v>11</v>
      </c>
    </row>
    <row r="11" spans="2:3" ht="36" customHeight="1" x14ac:dyDescent="0.2">
      <c r="B11" s="19" t="s">
        <v>12</v>
      </c>
      <c r="C11" s="17" t="s">
        <v>13</v>
      </c>
    </row>
    <row r="12" spans="2:3" ht="36" customHeight="1" x14ac:dyDescent="0.2">
      <c r="B12" s="19" t="s">
        <v>14</v>
      </c>
      <c r="C12" s="17" t="s">
        <v>15</v>
      </c>
    </row>
    <row r="13" spans="2:3" ht="36" customHeight="1" x14ac:dyDescent="0.2">
      <c r="B13" s="19" t="s">
        <v>16</v>
      </c>
      <c r="C13" s="17" t="s">
        <v>17</v>
      </c>
    </row>
    <row r="14" spans="2:3" ht="36" customHeight="1" x14ac:dyDescent="0.2">
      <c r="B14" s="19" t="s">
        <v>18</v>
      </c>
      <c r="C14" s="17" t="s">
        <v>19</v>
      </c>
    </row>
    <row r="15" spans="2:3" ht="7.5" customHeight="1" x14ac:dyDescent="0.2">
      <c r="B15" s="18"/>
      <c r="C15" s="18"/>
    </row>
    <row r="16" spans="2:3" ht="21.75" customHeight="1" x14ac:dyDescent="0.2">
      <c r="B16" s="11" t="s">
        <v>20</v>
      </c>
      <c r="C16" s="11"/>
    </row>
    <row r="17" spans="2:3" ht="51.75" customHeight="1" x14ac:dyDescent="0.2">
      <c r="B17" s="15" t="s">
        <v>21</v>
      </c>
      <c r="C17" s="17" t="s">
        <v>22</v>
      </c>
    </row>
    <row r="18" spans="2:3" ht="51.75" customHeight="1" x14ac:dyDescent="0.2">
      <c r="B18" s="15" t="s">
        <v>23</v>
      </c>
      <c r="C18" s="17" t="s">
        <v>24</v>
      </c>
    </row>
    <row r="19" spans="2:3" ht="51.75" customHeight="1" x14ac:dyDescent="0.2">
      <c r="B19" s="15" t="s">
        <v>25</v>
      </c>
      <c r="C19" s="17" t="s">
        <v>26</v>
      </c>
    </row>
    <row r="20" spans="2:3" ht="51.75" customHeight="1" x14ac:dyDescent="0.2">
      <c r="B20" s="15" t="s">
        <v>27</v>
      </c>
      <c r="C20" s="17" t="s">
        <v>28</v>
      </c>
    </row>
    <row r="21" spans="2:3" ht="51.75" customHeight="1" x14ac:dyDescent="0.2">
      <c r="B21" s="15" t="s">
        <v>29</v>
      </c>
      <c r="C21" s="17" t="s">
        <v>30</v>
      </c>
    </row>
    <row r="22" spans="2:3" ht="51.75" customHeight="1" x14ac:dyDescent="0.2">
      <c r="B22" s="15" t="s">
        <v>31</v>
      </c>
      <c r="C22" s="17" t="s">
        <v>32</v>
      </c>
    </row>
    <row r="23" spans="2:3" ht="7.5" customHeight="1" x14ac:dyDescent="0.2">
      <c r="B23" s="18"/>
      <c r="C23" s="18"/>
    </row>
    <row r="24" spans="2:3" ht="21.75" customHeight="1" x14ac:dyDescent="0.2">
      <c r="B24" s="11" t="s">
        <v>33</v>
      </c>
      <c r="C24" s="11"/>
    </row>
    <row r="25" spans="2:3" ht="51.75" customHeight="1" x14ac:dyDescent="0.2">
      <c r="B25" s="15" t="s">
        <v>34</v>
      </c>
      <c r="C25" s="17" t="s">
        <v>35</v>
      </c>
    </row>
    <row r="26" spans="2:3" ht="51.75" customHeight="1" x14ac:dyDescent="0.2">
      <c r="B26" s="15" t="s">
        <v>36</v>
      </c>
      <c r="C26" s="17" t="s">
        <v>37</v>
      </c>
    </row>
    <row r="27" spans="2:3" ht="51.75" customHeight="1" x14ac:dyDescent="0.2">
      <c r="B27" s="15" t="s">
        <v>38</v>
      </c>
      <c r="C27" s="17" t="s">
        <v>39</v>
      </c>
    </row>
    <row r="28" spans="2:3" ht="51.75" customHeight="1" x14ac:dyDescent="0.2">
      <c r="B28" s="15" t="s">
        <v>40</v>
      </c>
      <c r="C28" s="17" t="s">
        <v>41</v>
      </c>
    </row>
    <row r="29" spans="2:3" ht="51.75" customHeight="1" x14ac:dyDescent="0.2">
      <c r="B29" s="15" t="s">
        <v>42</v>
      </c>
      <c r="C29" s="17" t="s">
        <v>43</v>
      </c>
    </row>
    <row r="30" spans="2:3" ht="51.75" customHeight="1" x14ac:dyDescent="0.2">
      <c r="B30" s="15" t="s">
        <v>44</v>
      </c>
      <c r="C30" s="17" t="s">
        <v>45</v>
      </c>
    </row>
    <row r="31" spans="2:3" ht="51.75" customHeight="1" x14ac:dyDescent="0.2">
      <c r="B31" s="15" t="s">
        <v>46</v>
      </c>
      <c r="C31" s="17" t="s">
        <v>47</v>
      </c>
    </row>
    <row r="32" spans="2:3" ht="51.75" customHeight="1" x14ac:dyDescent="0.2">
      <c r="B32" s="15" t="s">
        <v>48</v>
      </c>
      <c r="C32" s="17" t="s">
        <v>49</v>
      </c>
    </row>
  </sheetData>
  <mergeCells count="6">
    <mergeCell ref="B24:C24"/>
    <mergeCell ref="B1:C1"/>
    <mergeCell ref="B2:C2"/>
    <mergeCell ref="B4:C4"/>
    <mergeCell ref="B9:C9"/>
    <mergeCell ref="B16:C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54"/>
  <sheetViews>
    <sheetView showGridLines="0" zoomScaleNormal="100" workbookViewId="0">
      <pane ySplit="3" topLeftCell="A4" activePane="bottomLeft" state="frozen"/>
      <selection pane="bottomLeft" sqref="A1:F1"/>
    </sheetView>
  </sheetViews>
  <sheetFormatPr baseColWidth="10" defaultColWidth="8.6640625" defaultRowHeight="15" x14ac:dyDescent="0.2"/>
  <cols>
    <col min="1" max="1" width="10" customWidth="1"/>
    <col min="2" max="2" width="18" customWidth="1"/>
    <col min="3" max="3" width="10" customWidth="1"/>
    <col min="4" max="4" width="16" customWidth="1"/>
    <col min="5" max="5" width="30" customWidth="1"/>
    <col min="6" max="6" width="10" customWidth="1"/>
    <col min="7" max="7" width="20" customWidth="1"/>
    <col min="8" max="8" width="14" customWidth="1"/>
    <col min="9" max="9" width="13" customWidth="1"/>
    <col min="10" max="11" width="16" customWidth="1"/>
    <col min="12" max="12" width="12" customWidth="1"/>
    <col min="13" max="14" width="9" customWidth="1"/>
    <col min="15" max="17" width="12" customWidth="1"/>
    <col min="18" max="18" width="10" customWidth="1"/>
    <col min="19" max="21" width="14" customWidth="1"/>
    <col min="22" max="22" width="28" customWidth="1"/>
    <col min="23" max="23" width="30" customWidth="1"/>
    <col min="24" max="26" width="12" customWidth="1"/>
    <col min="27" max="27" width="10" customWidth="1"/>
    <col min="28" max="28" width="14" customWidth="1"/>
    <col min="29" max="29" width="40" customWidth="1"/>
    <col min="30" max="30" width="22" customWidth="1"/>
    <col min="31" max="31" width="25" customWidth="1"/>
    <col min="32" max="33" width="14" customWidth="1"/>
    <col min="34" max="35" width="28" customWidth="1"/>
    <col min="36" max="36" width="16" customWidth="1"/>
    <col min="37" max="38" width="14" customWidth="1"/>
    <col min="39" max="39" width="30" customWidth="1"/>
    <col min="40" max="40" width="20" customWidth="1"/>
    <col min="41" max="41" width="25" customWidth="1"/>
  </cols>
  <sheetData>
    <row r="1" spans="1:41" ht="21.75" customHeight="1" x14ac:dyDescent="0.2">
      <c r="A1" s="10" t="s">
        <v>50</v>
      </c>
      <c r="B1" s="10"/>
      <c r="C1" s="10"/>
      <c r="D1" s="10"/>
      <c r="E1" s="10"/>
      <c r="F1" s="10"/>
      <c r="G1" s="9" t="s">
        <v>51</v>
      </c>
      <c r="H1" s="9"/>
      <c r="I1" s="9"/>
      <c r="J1" s="9"/>
      <c r="K1" s="9"/>
      <c r="L1" s="8" t="s">
        <v>52</v>
      </c>
      <c r="M1" s="8"/>
      <c r="N1" s="8"/>
      <c r="O1" s="8"/>
      <c r="P1" s="8"/>
      <c r="Q1" s="8"/>
      <c r="R1" s="8"/>
      <c r="S1" s="8"/>
      <c r="T1" s="7" t="s">
        <v>53</v>
      </c>
      <c r="U1" s="7"/>
      <c r="V1" s="7"/>
      <c r="W1" s="7"/>
      <c r="X1" s="6" t="s">
        <v>54</v>
      </c>
      <c r="Y1" s="6"/>
      <c r="Z1" s="6"/>
      <c r="AA1" s="6"/>
      <c r="AB1" s="6"/>
      <c r="AC1" s="5" t="s">
        <v>55</v>
      </c>
      <c r="AD1" s="5"/>
      <c r="AE1" s="5"/>
      <c r="AF1" s="5"/>
      <c r="AG1" s="5"/>
      <c r="AH1" s="5"/>
      <c r="AI1" s="5"/>
      <c r="AJ1" s="4" t="s">
        <v>56</v>
      </c>
      <c r="AK1" s="4"/>
      <c r="AL1" s="4"/>
      <c r="AM1" s="4"/>
      <c r="AN1" s="3" t="s">
        <v>57</v>
      </c>
      <c r="AO1" s="3"/>
    </row>
    <row r="2" spans="1:41" ht="36" customHeight="1" x14ac:dyDescent="0.2">
      <c r="A2" s="20" t="s">
        <v>58</v>
      </c>
      <c r="B2" s="20" t="s">
        <v>59</v>
      </c>
      <c r="C2" s="20" t="s">
        <v>60</v>
      </c>
      <c r="D2" s="20" t="s">
        <v>61</v>
      </c>
      <c r="E2" s="20" t="s">
        <v>62</v>
      </c>
      <c r="F2" s="20" t="s">
        <v>63</v>
      </c>
      <c r="G2" s="21" t="s">
        <v>64</v>
      </c>
      <c r="H2" s="21" t="s">
        <v>65</v>
      </c>
      <c r="I2" s="21" t="s">
        <v>66</v>
      </c>
      <c r="J2" s="21" t="s">
        <v>67</v>
      </c>
      <c r="K2" s="21" t="s">
        <v>68</v>
      </c>
      <c r="L2" s="22" t="s">
        <v>34</v>
      </c>
      <c r="M2" s="22" t="s">
        <v>69</v>
      </c>
      <c r="N2" s="22" t="s">
        <v>38</v>
      </c>
      <c r="O2" s="22" t="s">
        <v>70</v>
      </c>
      <c r="P2" s="22" t="s">
        <v>71</v>
      </c>
      <c r="Q2" s="22" t="s">
        <v>72</v>
      </c>
      <c r="R2" s="22" t="s">
        <v>40</v>
      </c>
      <c r="S2" s="22" t="s">
        <v>73</v>
      </c>
      <c r="T2" s="23" t="s">
        <v>74</v>
      </c>
      <c r="U2" s="23" t="s">
        <v>75</v>
      </c>
      <c r="V2" s="23" t="s">
        <v>76</v>
      </c>
      <c r="W2" s="23" t="s">
        <v>77</v>
      </c>
      <c r="X2" s="24" t="s">
        <v>78</v>
      </c>
      <c r="Y2" s="24" t="s">
        <v>79</v>
      </c>
      <c r="Z2" s="24" t="s">
        <v>80</v>
      </c>
      <c r="AA2" s="24" t="s">
        <v>81</v>
      </c>
      <c r="AB2" s="24" t="s">
        <v>82</v>
      </c>
      <c r="AC2" s="25" t="s">
        <v>83</v>
      </c>
      <c r="AD2" s="25" t="s">
        <v>84</v>
      </c>
      <c r="AE2" s="25" t="s">
        <v>85</v>
      </c>
      <c r="AF2" s="25" t="s">
        <v>86</v>
      </c>
      <c r="AG2" s="25" t="s">
        <v>87</v>
      </c>
      <c r="AH2" s="25" t="s">
        <v>88</v>
      </c>
      <c r="AI2" s="25" t="s">
        <v>89</v>
      </c>
      <c r="AJ2" s="26" t="s">
        <v>90</v>
      </c>
      <c r="AK2" s="26" t="s">
        <v>91</v>
      </c>
      <c r="AL2" s="26" t="s">
        <v>92</v>
      </c>
      <c r="AM2" s="26" t="s">
        <v>93</v>
      </c>
      <c r="AN2" s="20" t="s">
        <v>94</v>
      </c>
      <c r="AO2" s="20" t="s">
        <v>95</v>
      </c>
    </row>
    <row r="3" spans="1:41" ht="15.75" customHeight="1" x14ac:dyDescent="0.2">
      <c r="A3" s="27" t="s">
        <v>96</v>
      </c>
      <c r="B3" s="27" t="s">
        <v>97</v>
      </c>
      <c r="D3" s="27" t="s">
        <v>98</v>
      </c>
      <c r="G3" s="27" t="s">
        <v>99</v>
      </c>
      <c r="H3" s="27" t="s">
        <v>100</v>
      </c>
      <c r="I3" s="27" t="s">
        <v>101</v>
      </c>
      <c r="L3" s="27" t="s">
        <v>102</v>
      </c>
      <c r="M3" s="27" t="s">
        <v>103</v>
      </c>
      <c r="N3" s="27" t="s">
        <v>104</v>
      </c>
      <c r="O3" s="27" t="s">
        <v>105</v>
      </c>
      <c r="X3" s="27" t="s">
        <v>106</v>
      </c>
      <c r="Y3" s="27" t="s">
        <v>106</v>
      </c>
      <c r="Z3" s="27" t="s">
        <v>107</v>
      </c>
      <c r="AB3" s="27" t="s">
        <v>108</v>
      </c>
      <c r="AG3" s="27" t="s">
        <v>109</v>
      </c>
      <c r="AH3" s="27" t="s">
        <v>110</v>
      </c>
      <c r="AJ3" s="27" t="s">
        <v>111</v>
      </c>
      <c r="AL3" s="27" t="s">
        <v>112</v>
      </c>
    </row>
    <row r="4" spans="1:41" ht="90" customHeight="1" x14ac:dyDescent="0.2">
      <c r="A4" s="28" t="s">
        <v>113</v>
      </c>
      <c r="B4" s="29" t="s">
        <v>114</v>
      </c>
      <c r="C4" s="29" t="s">
        <v>115</v>
      </c>
      <c r="D4" s="29" t="s">
        <v>116</v>
      </c>
      <c r="E4" s="29" t="s">
        <v>117</v>
      </c>
      <c r="F4" s="29" t="s">
        <v>118</v>
      </c>
      <c r="G4" s="29" t="s">
        <v>119</v>
      </c>
      <c r="H4" s="29" t="s">
        <v>120</v>
      </c>
      <c r="I4" s="29" t="s">
        <v>121</v>
      </c>
      <c r="J4" s="29" t="s">
        <v>122</v>
      </c>
      <c r="K4" s="29" t="s">
        <v>123</v>
      </c>
      <c r="L4" s="29" t="s">
        <v>124</v>
      </c>
      <c r="M4" s="29" t="s">
        <v>124</v>
      </c>
      <c r="N4" s="29"/>
      <c r="O4" s="29" t="s">
        <v>125</v>
      </c>
      <c r="P4" s="29"/>
      <c r="Q4" s="29"/>
      <c r="R4" s="29"/>
      <c r="S4" s="29"/>
      <c r="T4" s="29" t="s">
        <v>126</v>
      </c>
      <c r="U4" s="29" t="s">
        <v>127</v>
      </c>
      <c r="V4" s="29" t="s">
        <v>128</v>
      </c>
      <c r="W4" s="29" t="s">
        <v>129</v>
      </c>
      <c r="X4" s="29">
        <v>3000</v>
      </c>
      <c r="Y4" s="29">
        <v>2000</v>
      </c>
      <c r="Z4" s="29">
        <f t="shared" ref="Z4:Z18" si="0">X4+Y4</f>
        <v>5000</v>
      </c>
      <c r="AA4" s="29">
        <v>0.01</v>
      </c>
      <c r="AB4" s="29">
        <f>AA4</f>
        <v>0.01</v>
      </c>
      <c r="AC4" s="29" t="s">
        <v>130</v>
      </c>
      <c r="AD4" s="29" t="s">
        <v>131</v>
      </c>
      <c r="AE4" s="29" t="s">
        <v>132</v>
      </c>
      <c r="AF4" s="29" t="s">
        <v>133</v>
      </c>
      <c r="AG4" s="29" t="s">
        <v>134</v>
      </c>
      <c r="AH4" s="29" t="s">
        <v>135</v>
      </c>
      <c r="AI4" s="29" t="s">
        <v>136</v>
      </c>
      <c r="AJ4" s="29" t="s">
        <v>137</v>
      </c>
      <c r="AK4" s="29" t="s">
        <v>137</v>
      </c>
      <c r="AL4" s="29" t="s">
        <v>138</v>
      </c>
      <c r="AM4" s="29" t="s">
        <v>139</v>
      </c>
      <c r="AN4" s="29" t="s">
        <v>140</v>
      </c>
      <c r="AO4" s="29" t="s">
        <v>141</v>
      </c>
    </row>
    <row r="5" spans="1:41" ht="90" customHeight="1" x14ac:dyDescent="0.2">
      <c r="A5" s="30" t="s">
        <v>142</v>
      </c>
      <c r="B5" s="31" t="s">
        <v>143</v>
      </c>
      <c r="C5" s="31" t="s">
        <v>115</v>
      </c>
      <c r="D5" s="31" t="s">
        <v>116</v>
      </c>
      <c r="E5" s="31" t="s">
        <v>117</v>
      </c>
      <c r="F5" s="31" t="s">
        <v>144</v>
      </c>
      <c r="G5" s="31" t="s">
        <v>119</v>
      </c>
      <c r="H5" s="31" t="s">
        <v>120</v>
      </c>
      <c r="I5" s="31" t="s">
        <v>121</v>
      </c>
      <c r="J5" s="31" t="s">
        <v>122</v>
      </c>
      <c r="K5" s="31" t="s">
        <v>123</v>
      </c>
      <c r="L5" s="31" t="s">
        <v>124</v>
      </c>
      <c r="M5" s="31" t="s">
        <v>124</v>
      </c>
      <c r="N5" s="31"/>
      <c r="O5" s="31" t="s">
        <v>125</v>
      </c>
      <c r="P5" s="31"/>
      <c r="Q5" s="31"/>
      <c r="R5" s="31"/>
      <c r="S5" s="31"/>
      <c r="T5" s="31" t="s">
        <v>126</v>
      </c>
      <c r="U5" s="31" t="s">
        <v>127</v>
      </c>
      <c r="V5" s="31" t="s">
        <v>145</v>
      </c>
      <c r="W5" s="31" t="s">
        <v>146</v>
      </c>
      <c r="X5" s="31">
        <v>3000</v>
      </c>
      <c r="Y5" s="31">
        <v>2000</v>
      </c>
      <c r="Z5" s="32">
        <f t="shared" si="0"/>
        <v>5000</v>
      </c>
      <c r="AA5" s="31">
        <v>0.01</v>
      </c>
      <c r="AB5" s="32">
        <f t="shared" ref="AB5:AB18" si="1">AA4+AA5</f>
        <v>0.02</v>
      </c>
      <c r="AC5" s="31" t="s">
        <v>147</v>
      </c>
      <c r="AD5" s="31" t="s">
        <v>148</v>
      </c>
      <c r="AE5" s="31" t="s">
        <v>149</v>
      </c>
      <c r="AF5" s="31" t="s">
        <v>133</v>
      </c>
      <c r="AG5" s="31" t="s">
        <v>134</v>
      </c>
      <c r="AH5" s="31" t="s">
        <v>150</v>
      </c>
      <c r="AI5" s="31" t="s">
        <v>151</v>
      </c>
      <c r="AJ5" s="31" t="s">
        <v>137</v>
      </c>
      <c r="AK5" s="31" t="s">
        <v>137</v>
      </c>
      <c r="AL5" s="31" t="s">
        <v>138</v>
      </c>
      <c r="AM5" s="31" t="s">
        <v>152</v>
      </c>
      <c r="AN5" s="31" t="s">
        <v>153</v>
      </c>
      <c r="AO5" s="31" t="s">
        <v>154</v>
      </c>
    </row>
    <row r="6" spans="1:41" ht="90" customHeight="1" x14ac:dyDescent="0.2">
      <c r="A6" s="33" t="s">
        <v>155</v>
      </c>
      <c r="B6" s="34" t="s">
        <v>156</v>
      </c>
      <c r="C6" s="34" t="s">
        <v>157</v>
      </c>
      <c r="D6" s="34" t="s">
        <v>116</v>
      </c>
      <c r="E6" s="34" t="s">
        <v>117</v>
      </c>
      <c r="F6" s="34" t="s">
        <v>158</v>
      </c>
      <c r="G6" s="34" t="s">
        <v>119</v>
      </c>
      <c r="H6" s="34" t="s">
        <v>120</v>
      </c>
      <c r="I6" s="34" t="s">
        <v>121</v>
      </c>
      <c r="J6" s="34" t="s">
        <v>122</v>
      </c>
      <c r="K6" s="34" t="s">
        <v>123</v>
      </c>
      <c r="L6" s="34" t="s">
        <v>159</v>
      </c>
      <c r="M6" s="34" t="s">
        <v>160</v>
      </c>
      <c r="N6" s="34"/>
      <c r="O6" s="34" t="s">
        <v>161</v>
      </c>
      <c r="P6" s="34" t="s">
        <v>162</v>
      </c>
      <c r="Q6" s="34" t="s">
        <v>162</v>
      </c>
      <c r="R6" s="34"/>
      <c r="S6" s="34" t="s">
        <v>163</v>
      </c>
      <c r="T6" s="34" t="s">
        <v>164</v>
      </c>
      <c r="U6" s="34" t="s">
        <v>165</v>
      </c>
      <c r="V6" s="34" t="s">
        <v>166</v>
      </c>
      <c r="W6" s="34" t="s">
        <v>167</v>
      </c>
      <c r="X6" s="34">
        <v>230000</v>
      </c>
      <c r="Y6" s="34">
        <v>30000</v>
      </c>
      <c r="Z6" s="32">
        <f t="shared" si="0"/>
        <v>260000</v>
      </c>
      <c r="AA6" s="34">
        <v>0.09</v>
      </c>
      <c r="AB6" s="32">
        <f t="shared" si="1"/>
        <v>9.9999999999999992E-2</v>
      </c>
      <c r="AC6" s="34" t="s">
        <v>168</v>
      </c>
      <c r="AD6" s="34" t="s">
        <v>169</v>
      </c>
      <c r="AE6" s="34" t="s">
        <v>170</v>
      </c>
      <c r="AF6" s="34" t="s">
        <v>133</v>
      </c>
      <c r="AG6" s="34" t="s">
        <v>171</v>
      </c>
      <c r="AH6" s="34" t="s">
        <v>172</v>
      </c>
      <c r="AI6" s="34" t="s">
        <v>173</v>
      </c>
      <c r="AJ6" s="34" t="s">
        <v>174</v>
      </c>
      <c r="AK6" s="34" t="s">
        <v>175</v>
      </c>
      <c r="AL6" s="34" t="s">
        <v>138</v>
      </c>
      <c r="AM6" s="34" t="s">
        <v>176</v>
      </c>
      <c r="AN6" s="34" t="s">
        <v>177</v>
      </c>
      <c r="AO6" s="34" t="s">
        <v>178</v>
      </c>
    </row>
    <row r="7" spans="1:41" ht="90" customHeight="1" x14ac:dyDescent="0.2">
      <c r="A7" s="30" t="s">
        <v>179</v>
      </c>
      <c r="B7" s="31" t="s">
        <v>180</v>
      </c>
      <c r="C7" s="31" t="s">
        <v>181</v>
      </c>
      <c r="D7" s="31" t="s">
        <v>116</v>
      </c>
      <c r="E7" s="31" t="s">
        <v>117</v>
      </c>
      <c r="F7" s="31" t="s">
        <v>133</v>
      </c>
      <c r="G7" s="31" t="s">
        <v>119</v>
      </c>
      <c r="H7" s="31" t="s">
        <v>120</v>
      </c>
      <c r="I7" s="31" t="s">
        <v>121</v>
      </c>
      <c r="J7" s="31" t="s">
        <v>122</v>
      </c>
      <c r="K7" s="31" t="s">
        <v>123</v>
      </c>
      <c r="L7" s="31" t="s">
        <v>159</v>
      </c>
      <c r="M7" s="31" t="s">
        <v>160</v>
      </c>
      <c r="N7" s="31"/>
      <c r="O7" s="31" t="s">
        <v>161</v>
      </c>
      <c r="P7" s="31" t="s">
        <v>162</v>
      </c>
      <c r="Q7" s="31" t="s">
        <v>162</v>
      </c>
      <c r="R7" s="31"/>
      <c r="S7" s="31" t="s">
        <v>163</v>
      </c>
      <c r="T7" s="31" t="s">
        <v>182</v>
      </c>
      <c r="U7" s="31" t="s">
        <v>165</v>
      </c>
      <c r="V7" s="31" t="s">
        <v>183</v>
      </c>
      <c r="W7" s="31" t="s">
        <v>184</v>
      </c>
      <c r="X7" s="31">
        <v>1150000</v>
      </c>
      <c r="Y7" s="31">
        <v>150000</v>
      </c>
      <c r="Z7" s="32">
        <f t="shared" si="0"/>
        <v>1300000</v>
      </c>
      <c r="AA7" s="31">
        <v>0.48</v>
      </c>
      <c r="AB7" s="32">
        <f t="shared" si="1"/>
        <v>0.56999999999999995</v>
      </c>
      <c r="AC7" s="31" t="s">
        <v>185</v>
      </c>
      <c r="AD7" s="31" t="s">
        <v>186</v>
      </c>
      <c r="AE7" s="31" t="s">
        <v>187</v>
      </c>
      <c r="AF7" s="31" t="s">
        <v>188</v>
      </c>
      <c r="AG7" s="31" t="s">
        <v>134</v>
      </c>
      <c r="AH7" s="31" t="s">
        <v>189</v>
      </c>
      <c r="AI7" s="31" t="s">
        <v>190</v>
      </c>
      <c r="AJ7" s="31" t="s">
        <v>171</v>
      </c>
      <c r="AK7" s="31" t="s">
        <v>191</v>
      </c>
      <c r="AL7" s="31" t="s">
        <v>138</v>
      </c>
      <c r="AM7" s="31" t="s">
        <v>192</v>
      </c>
      <c r="AN7" s="31" t="s">
        <v>193</v>
      </c>
      <c r="AO7" s="31" t="s">
        <v>194</v>
      </c>
    </row>
    <row r="8" spans="1:41" ht="90" customHeight="1" x14ac:dyDescent="0.2">
      <c r="A8" s="33" t="s">
        <v>195</v>
      </c>
      <c r="B8" s="34" t="s">
        <v>196</v>
      </c>
      <c r="C8" s="34" t="s">
        <v>197</v>
      </c>
      <c r="D8" s="34" t="s">
        <v>116</v>
      </c>
      <c r="E8" s="34" t="s">
        <v>117</v>
      </c>
      <c r="F8" s="34" t="s">
        <v>188</v>
      </c>
      <c r="G8" s="34" t="s">
        <v>198</v>
      </c>
      <c r="H8" s="34" t="s">
        <v>120</v>
      </c>
      <c r="I8" s="34" t="s">
        <v>121</v>
      </c>
      <c r="J8" s="34" t="s">
        <v>122</v>
      </c>
      <c r="K8" s="34" t="s">
        <v>123</v>
      </c>
      <c r="L8" s="34" t="s">
        <v>159</v>
      </c>
      <c r="M8" s="34" t="s">
        <v>160</v>
      </c>
      <c r="N8" s="34"/>
      <c r="O8" s="34" t="s">
        <v>161</v>
      </c>
      <c r="P8" s="34" t="s">
        <v>162</v>
      </c>
      <c r="Q8" s="34" t="s">
        <v>162</v>
      </c>
      <c r="R8" s="34"/>
      <c r="S8" s="34"/>
      <c r="T8" s="34" t="s">
        <v>199</v>
      </c>
      <c r="U8" s="34" t="s">
        <v>200</v>
      </c>
      <c r="V8" s="34" t="s">
        <v>201</v>
      </c>
      <c r="W8" s="34" t="s">
        <v>202</v>
      </c>
      <c r="X8" s="34">
        <v>1840000</v>
      </c>
      <c r="Y8" s="34">
        <v>240000</v>
      </c>
      <c r="Z8" s="32">
        <f t="shared" si="0"/>
        <v>2080000</v>
      </c>
      <c r="AA8" s="34">
        <v>9.1199999999999992</v>
      </c>
      <c r="AB8" s="32">
        <f t="shared" si="1"/>
        <v>9.6</v>
      </c>
      <c r="AC8" s="34" t="s">
        <v>203</v>
      </c>
      <c r="AD8" s="34" t="s">
        <v>204</v>
      </c>
      <c r="AE8" s="34" t="s">
        <v>205</v>
      </c>
      <c r="AF8" s="34" t="s">
        <v>188</v>
      </c>
      <c r="AG8" s="34" t="s">
        <v>134</v>
      </c>
      <c r="AH8" s="34" t="s">
        <v>206</v>
      </c>
      <c r="AI8" s="34" t="s">
        <v>207</v>
      </c>
      <c r="AJ8" s="34" t="s">
        <v>171</v>
      </c>
      <c r="AK8" s="34" t="s">
        <v>208</v>
      </c>
      <c r="AL8" s="34" t="s">
        <v>138</v>
      </c>
      <c r="AM8" s="34" t="s">
        <v>209</v>
      </c>
      <c r="AN8" s="34" t="s">
        <v>210</v>
      </c>
      <c r="AO8" s="34" t="s">
        <v>211</v>
      </c>
    </row>
    <row r="9" spans="1:41" ht="90" customHeight="1" x14ac:dyDescent="0.2">
      <c r="A9" s="30" t="s">
        <v>212</v>
      </c>
      <c r="B9" s="31" t="s">
        <v>213</v>
      </c>
      <c r="C9" s="31" t="s">
        <v>181</v>
      </c>
      <c r="D9" s="31" t="s">
        <v>116</v>
      </c>
      <c r="E9" s="31" t="s">
        <v>117</v>
      </c>
      <c r="F9" s="31" t="s">
        <v>214</v>
      </c>
      <c r="G9" s="31" t="s">
        <v>215</v>
      </c>
      <c r="H9" s="31" t="s">
        <v>120</v>
      </c>
      <c r="I9" s="31" t="s">
        <v>121</v>
      </c>
      <c r="J9" s="31" t="s">
        <v>122</v>
      </c>
      <c r="K9" s="31" t="s">
        <v>123</v>
      </c>
      <c r="L9" s="31" t="s">
        <v>159</v>
      </c>
      <c r="M9" s="31" t="s">
        <v>160</v>
      </c>
      <c r="N9" s="31"/>
      <c r="O9" s="31" t="s">
        <v>161</v>
      </c>
      <c r="P9" s="31" t="s">
        <v>162</v>
      </c>
      <c r="Q9" s="31" t="s">
        <v>162</v>
      </c>
      <c r="R9" s="31"/>
      <c r="S9" s="31"/>
      <c r="T9" s="31" t="s">
        <v>216</v>
      </c>
      <c r="U9" s="31" t="s">
        <v>200</v>
      </c>
      <c r="V9" s="31" t="s">
        <v>217</v>
      </c>
      <c r="W9" s="31" t="s">
        <v>218</v>
      </c>
      <c r="X9" s="31">
        <v>1150000</v>
      </c>
      <c r="Y9" s="31">
        <v>150000</v>
      </c>
      <c r="Z9" s="32">
        <f t="shared" si="0"/>
        <v>1300000</v>
      </c>
      <c r="AA9" s="31">
        <v>5.7</v>
      </c>
      <c r="AB9" s="32">
        <f t="shared" si="1"/>
        <v>14.82</v>
      </c>
      <c r="AC9" s="31" t="s">
        <v>219</v>
      </c>
      <c r="AD9" s="31" t="s">
        <v>220</v>
      </c>
      <c r="AE9" s="31" t="s">
        <v>221</v>
      </c>
      <c r="AF9" s="31" t="s">
        <v>222</v>
      </c>
      <c r="AG9" s="31" t="s">
        <v>138</v>
      </c>
      <c r="AH9" s="31" t="s">
        <v>223</v>
      </c>
      <c r="AI9" s="31" t="s">
        <v>224</v>
      </c>
      <c r="AJ9" s="31" t="s">
        <v>171</v>
      </c>
      <c r="AK9" s="31" t="s">
        <v>225</v>
      </c>
      <c r="AL9" s="31" t="s">
        <v>138</v>
      </c>
      <c r="AM9" s="31" t="s">
        <v>226</v>
      </c>
      <c r="AN9" s="31" t="s">
        <v>227</v>
      </c>
      <c r="AO9" s="31" t="s">
        <v>228</v>
      </c>
    </row>
    <row r="10" spans="1:41" ht="90" customHeight="1" x14ac:dyDescent="0.2">
      <c r="A10" s="33" t="s">
        <v>229</v>
      </c>
      <c r="B10" s="34" t="s">
        <v>230</v>
      </c>
      <c r="C10" s="34" t="s">
        <v>157</v>
      </c>
      <c r="D10" s="34" t="s">
        <v>116</v>
      </c>
      <c r="E10" s="34" t="s">
        <v>117</v>
      </c>
      <c r="F10" s="34" t="s">
        <v>231</v>
      </c>
      <c r="G10" s="34" t="s">
        <v>232</v>
      </c>
      <c r="H10" s="34" t="s">
        <v>120</v>
      </c>
      <c r="I10" s="34" t="s">
        <v>121</v>
      </c>
      <c r="J10" s="34" t="s">
        <v>122</v>
      </c>
      <c r="K10" s="34" t="s">
        <v>123</v>
      </c>
      <c r="L10" s="34" t="s">
        <v>162</v>
      </c>
      <c r="M10" s="34" t="s">
        <v>160</v>
      </c>
      <c r="N10" s="34"/>
      <c r="O10" s="34" t="s">
        <v>233</v>
      </c>
      <c r="P10" s="34" t="s">
        <v>162</v>
      </c>
      <c r="Q10" s="34" t="s">
        <v>162</v>
      </c>
      <c r="R10" s="34"/>
      <c r="S10" s="34"/>
      <c r="T10" s="34" t="s">
        <v>234</v>
      </c>
      <c r="U10" s="34" t="s">
        <v>235</v>
      </c>
      <c r="V10" s="34" t="s">
        <v>236</v>
      </c>
      <c r="W10" s="34" t="s">
        <v>237</v>
      </c>
      <c r="X10" s="34">
        <v>4600000</v>
      </c>
      <c r="Y10" s="34">
        <v>600000</v>
      </c>
      <c r="Z10" s="32">
        <f t="shared" si="0"/>
        <v>5200000</v>
      </c>
      <c r="AA10" s="34">
        <v>3.83</v>
      </c>
      <c r="AB10" s="32">
        <f t="shared" si="1"/>
        <v>9.5300000000000011</v>
      </c>
      <c r="AC10" s="34" t="s">
        <v>238</v>
      </c>
      <c r="AD10" s="34" t="s">
        <v>239</v>
      </c>
      <c r="AE10" s="34" t="s">
        <v>240</v>
      </c>
      <c r="AF10" s="34" t="s">
        <v>214</v>
      </c>
      <c r="AG10" s="34" t="s">
        <v>138</v>
      </c>
      <c r="AH10" s="34" t="s">
        <v>241</v>
      </c>
      <c r="AI10" s="34" t="s">
        <v>242</v>
      </c>
      <c r="AJ10" s="34" t="s">
        <v>171</v>
      </c>
      <c r="AK10" s="34" t="s">
        <v>243</v>
      </c>
      <c r="AL10" s="34" t="s">
        <v>138</v>
      </c>
      <c r="AM10" s="34" t="s">
        <v>244</v>
      </c>
      <c r="AN10" s="34" t="s">
        <v>245</v>
      </c>
      <c r="AO10" s="34" t="s">
        <v>246</v>
      </c>
    </row>
    <row r="11" spans="1:41" ht="90" customHeight="1" x14ac:dyDescent="0.2">
      <c r="A11" s="30" t="s">
        <v>247</v>
      </c>
      <c r="B11" s="31" t="s">
        <v>230</v>
      </c>
      <c r="C11" s="31" t="s">
        <v>157</v>
      </c>
      <c r="D11" s="31" t="s">
        <v>116</v>
      </c>
      <c r="E11" s="31" t="s">
        <v>117</v>
      </c>
      <c r="F11" s="31" t="s">
        <v>248</v>
      </c>
      <c r="G11" s="31" t="s">
        <v>232</v>
      </c>
      <c r="H11" s="31" t="s">
        <v>120</v>
      </c>
      <c r="I11" s="31" t="s">
        <v>121</v>
      </c>
      <c r="J11" s="31" t="s">
        <v>122</v>
      </c>
      <c r="K11" s="31" t="s">
        <v>123</v>
      </c>
      <c r="L11" s="31" t="s">
        <v>162</v>
      </c>
      <c r="M11" s="31" t="s">
        <v>160</v>
      </c>
      <c r="N11" s="31"/>
      <c r="O11" s="31" t="s">
        <v>233</v>
      </c>
      <c r="P11" s="31" t="s">
        <v>162</v>
      </c>
      <c r="Q11" s="31" t="s">
        <v>162</v>
      </c>
      <c r="R11" s="31"/>
      <c r="S11" s="31"/>
      <c r="T11" s="31" t="s">
        <v>234</v>
      </c>
      <c r="U11" s="31" t="s">
        <v>235</v>
      </c>
      <c r="V11" s="31" t="s">
        <v>249</v>
      </c>
      <c r="W11" s="31" t="s">
        <v>250</v>
      </c>
      <c r="X11" s="31">
        <v>4600000</v>
      </c>
      <c r="Y11" s="31">
        <v>600000</v>
      </c>
      <c r="Z11" s="32">
        <f t="shared" si="0"/>
        <v>5200000</v>
      </c>
      <c r="AA11" s="31">
        <v>3.83</v>
      </c>
      <c r="AB11" s="32">
        <f t="shared" si="1"/>
        <v>7.66</v>
      </c>
      <c r="AC11" s="31" t="s">
        <v>251</v>
      </c>
      <c r="AD11" s="31" t="s">
        <v>252</v>
      </c>
      <c r="AE11" s="31" t="s">
        <v>253</v>
      </c>
      <c r="AF11" s="31" t="s">
        <v>214</v>
      </c>
      <c r="AG11" s="31" t="s">
        <v>138</v>
      </c>
      <c r="AH11" s="31" t="s">
        <v>254</v>
      </c>
      <c r="AI11" s="31" t="s">
        <v>255</v>
      </c>
      <c r="AJ11" s="31" t="s">
        <v>171</v>
      </c>
      <c r="AK11" s="31" t="s">
        <v>256</v>
      </c>
      <c r="AL11" s="31" t="s">
        <v>138</v>
      </c>
      <c r="AM11" s="31" t="s">
        <v>244</v>
      </c>
      <c r="AN11" s="31" t="s">
        <v>257</v>
      </c>
      <c r="AO11" s="31" t="s">
        <v>258</v>
      </c>
    </row>
    <row r="12" spans="1:41" ht="90" customHeight="1" x14ac:dyDescent="0.2">
      <c r="A12" s="33" t="s">
        <v>259</v>
      </c>
      <c r="B12" s="34" t="s">
        <v>230</v>
      </c>
      <c r="C12" s="34" t="s">
        <v>157</v>
      </c>
      <c r="D12" s="34" t="s">
        <v>116</v>
      </c>
      <c r="E12" s="34" t="s">
        <v>117</v>
      </c>
      <c r="F12" s="34" t="s">
        <v>260</v>
      </c>
      <c r="G12" s="34" t="s">
        <v>232</v>
      </c>
      <c r="H12" s="34" t="s">
        <v>120</v>
      </c>
      <c r="I12" s="34" t="s">
        <v>121</v>
      </c>
      <c r="J12" s="34" t="s">
        <v>122</v>
      </c>
      <c r="K12" s="34" t="s">
        <v>123</v>
      </c>
      <c r="L12" s="34" t="s">
        <v>162</v>
      </c>
      <c r="M12" s="34" t="s">
        <v>160</v>
      </c>
      <c r="N12" s="34"/>
      <c r="O12" s="34" t="s">
        <v>233</v>
      </c>
      <c r="P12" s="34" t="s">
        <v>162</v>
      </c>
      <c r="Q12" s="34" t="s">
        <v>162</v>
      </c>
      <c r="R12" s="34"/>
      <c r="S12" s="34"/>
      <c r="T12" s="34" t="s">
        <v>234</v>
      </c>
      <c r="U12" s="34" t="s">
        <v>235</v>
      </c>
      <c r="V12" s="34" t="s">
        <v>261</v>
      </c>
      <c r="W12" s="34" t="s">
        <v>262</v>
      </c>
      <c r="X12" s="34">
        <v>4600000</v>
      </c>
      <c r="Y12" s="34">
        <v>600000</v>
      </c>
      <c r="Z12" s="32">
        <f t="shared" si="0"/>
        <v>5200000</v>
      </c>
      <c r="AA12" s="34">
        <v>3.83</v>
      </c>
      <c r="AB12" s="32">
        <f t="shared" si="1"/>
        <v>7.66</v>
      </c>
      <c r="AC12" s="34" t="s">
        <v>263</v>
      </c>
      <c r="AD12" s="34" t="s">
        <v>264</v>
      </c>
      <c r="AE12" s="34" t="s">
        <v>265</v>
      </c>
      <c r="AF12" s="34" t="s">
        <v>214</v>
      </c>
      <c r="AG12" s="34" t="s">
        <v>138</v>
      </c>
      <c r="AH12" s="34"/>
      <c r="AI12" s="34" t="s">
        <v>266</v>
      </c>
      <c r="AJ12" s="34" t="s">
        <v>171</v>
      </c>
      <c r="AK12" s="34" t="s">
        <v>256</v>
      </c>
      <c r="AL12" s="34" t="s">
        <v>138</v>
      </c>
      <c r="AM12" s="34" t="s">
        <v>244</v>
      </c>
      <c r="AN12" s="34" t="s">
        <v>267</v>
      </c>
      <c r="AO12" s="34"/>
    </row>
    <row r="13" spans="1:41" ht="90" customHeight="1" x14ac:dyDescent="0.2">
      <c r="A13" s="30" t="s">
        <v>268</v>
      </c>
      <c r="B13" s="31" t="s">
        <v>230</v>
      </c>
      <c r="C13" s="31" t="s">
        <v>269</v>
      </c>
      <c r="D13" s="31" t="s">
        <v>116</v>
      </c>
      <c r="E13" s="31" t="s">
        <v>117</v>
      </c>
      <c r="F13" s="31" t="s">
        <v>270</v>
      </c>
      <c r="G13" s="31" t="s">
        <v>232</v>
      </c>
      <c r="H13" s="31" t="s">
        <v>120</v>
      </c>
      <c r="I13" s="31" t="s">
        <v>121</v>
      </c>
      <c r="J13" s="31" t="s">
        <v>122</v>
      </c>
      <c r="K13" s="31" t="s">
        <v>123</v>
      </c>
      <c r="L13" s="31" t="s">
        <v>162</v>
      </c>
      <c r="M13" s="31" t="s">
        <v>160</v>
      </c>
      <c r="N13" s="31"/>
      <c r="O13" s="31" t="s">
        <v>233</v>
      </c>
      <c r="P13" s="31" t="s">
        <v>162</v>
      </c>
      <c r="Q13" s="31" t="s">
        <v>162</v>
      </c>
      <c r="R13" s="31"/>
      <c r="S13" s="31"/>
      <c r="T13" s="31" t="s">
        <v>234</v>
      </c>
      <c r="U13" s="31" t="s">
        <v>235</v>
      </c>
      <c r="V13" s="31" t="s">
        <v>271</v>
      </c>
      <c r="W13" s="31" t="s">
        <v>272</v>
      </c>
      <c r="X13" s="31">
        <v>4600000</v>
      </c>
      <c r="Y13" s="31">
        <v>600000</v>
      </c>
      <c r="Z13" s="32">
        <f t="shared" si="0"/>
        <v>5200000</v>
      </c>
      <c r="AA13" s="31">
        <v>3.83</v>
      </c>
      <c r="AB13" s="32">
        <f t="shared" si="1"/>
        <v>7.66</v>
      </c>
      <c r="AC13" s="31" t="s">
        <v>273</v>
      </c>
      <c r="AD13" s="31" t="s">
        <v>274</v>
      </c>
      <c r="AE13" s="31" t="s">
        <v>275</v>
      </c>
      <c r="AF13" s="31" t="s">
        <v>214</v>
      </c>
      <c r="AG13" s="31" t="s">
        <v>138</v>
      </c>
      <c r="AH13" s="31" t="s">
        <v>276</v>
      </c>
      <c r="AI13" s="31" t="s">
        <v>277</v>
      </c>
      <c r="AJ13" s="31" t="s">
        <v>171</v>
      </c>
      <c r="AK13" s="31" t="s">
        <v>171</v>
      </c>
      <c r="AL13" s="31" t="s">
        <v>138</v>
      </c>
      <c r="AM13" s="31" t="s">
        <v>244</v>
      </c>
      <c r="AN13" s="31" t="s">
        <v>278</v>
      </c>
      <c r="AO13" s="31" t="s">
        <v>279</v>
      </c>
    </row>
    <row r="14" spans="1:41" ht="90" customHeight="1" x14ac:dyDescent="0.2">
      <c r="A14" s="33" t="s">
        <v>280</v>
      </c>
      <c r="B14" s="34" t="s">
        <v>281</v>
      </c>
      <c r="C14" s="34" t="s">
        <v>282</v>
      </c>
      <c r="D14" s="34" t="s">
        <v>116</v>
      </c>
      <c r="E14" s="34" t="s">
        <v>117</v>
      </c>
      <c r="F14" s="34" t="s">
        <v>283</v>
      </c>
      <c r="G14" s="34" t="s">
        <v>232</v>
      </c>
      <c r="H14" s="34" t="s">
        <v>120</v>
      </c>
      <c r="I14" s="34" t="s">
        <v>121</v>
      </c>
      <c r="J14" s="34" t="s">
        <v>122</v>
      </c>
      <c r="K14" s="34" t="s">
        <v>123</v>
      </c>
      <c r="L14" s="34" t="s">
        <v>162</v>
      </c>
      <c r="M14" s="34" t="s">
        <v>160</v>
      </c>
      <c r="N14" s="34"/>
      <c r="O14" s="34" t="s">
        <v>233</v>
      </c>
      <c r="P14" s="34" t="s">
        <v>162</v>
      </c>
      <c r="Q14" s="34" t="s">
        <v>162</v>
      </c>
      <c r="R14" s="34"/>
      <c r="S14" s="34"/>
      <c r="T14" s="34" t="s">
        <v>234</v>
      </c>
      <c r="U14" s="34" t="s">
        <v>235</v>
      </c>
      <c r="V14" s="34" t="s">
        <v>284</v>
      </c>
      <c r="W14" s="34" t="s">
        <v>285</v>
      </c>
      <c r="X14" s="34">
        <v>46000000</v>
      </c>
      <c r="Y14" s="34">
        <v>6000000</v>
      </c>
      <c r="Z14" s="32">
        <f t="shared" si="0"/>
        <v>52000000</v>
      </c>
      <c r="AA14" s="34">
        <v>38.299999999999997</v>
      </c>
      <c r="AB14" s="32">
        <f t="shared" si="1"/>
        <v>42.129999999999995</v>
      </c>
      <c r="AC14" s="34" t="s">
        <v>286</v>
      </c>
      <c r="AD14" s="34" t="s">
        <v>287</v>
      </c>
      <c r="AE14" s="34" t="s">
        <v>288</v>
      </c>
      <c r="AF14" s="34" t="s">
        <v>214</v>
      </c>
      <c r="AG14" s="34" t="s">
        <v>138</v>
      </c>
      <c r="AH14" s="34" t="s">
        <v>289</v>
      </c>
      <c r="AI14" s="34" t="s">
        <v>290</v>
      </c>
      <c r="AJ14" s="34" t="s">
        <v>171</v>
      </c>
      <c r="AK14" s="34" t="s">
        <v>291</v>
      </c>
      <c r="AL14" s="34" t="s">
        <v>138</v>
      </c>
      <c r="AM14" s="34" t="s">
        <v>292</v>
      </c>
      <c r="AN14" s="34" t="s">
        <v>293</v>
      </c>
      <c r="AO14" s="34" t="s">
        <v>294</v>
      </c>
    </row>
    <row r="15" spans="1:41" ht="90" customHeight="1" x14ac:dyDescent="0.2">
      <c r="A15" s="30" t="s">
        <v>295</v>
      </c>
      <c r="B15" s="31" t="s">
        <v>296</v>
      </c>
      <c r="C15" s="31" t="s">
        <v>297</v>
      </c>
      <c r="D15" s="31" t="s">
        <v>116</v>
      </c>
      <c r="E15" s="31" t="s">
        <v>117</v>
      </c>
      <c r="F15" s="31" t="s">
        <v>298</v>
      </c>
      <c r="G15" s="31" t="s">
        <v>215</v>
      </c>
      <c r="H15" s="31" t="s">
        <v>120</v>
      </c>
      <c r="I15" s="31" t="s">
        <v>121</v>
      </c>
      <c r="J15" s="31" t="s">
        <v>122</v>
      </c>
      <c r="K15" s="31" t="s">
        <v>123</v>
      </c>
      <c r="L15" s="31" t="s">
        <v>124</v>
      </c>
      <c r="M15" s="31" t="s">
        <v>160</v>
      </c>
      <c r="N15" s="31"/>
      <c r="O15" s="31" t="s">
        <v>299</v>
      </c>
      <c r="P15" s="31" t="s">
        <v>162</v>
      </c>
      <c r="Q15" s="31" t="s">
        <v>162</v>
      </c>
      <c r="R15" s="31"/>
      <c r="S15" s="31"/>
      <c r="T15" s="31" t="s">
        <v>216</v>
      </c>
      <c r="U15" s="31" t="s">
        <v>300</v>
      </c>
      <c r="V15" s="31" t="s">
        <v>301</v>
      </c>
      <c r="W15" s="31" t="s">
        <v>302</v>
      </c>
      <c r="X15" s="31">
        <v>1160000</v>
      </c>
      <c r="Y15" s="31">
        <v>580000</v>
      </c>
      <c r="Z15" s="32">
        <f t="shared" si="0"/>
        <v>1740000</v>
      </c>
      <c r="AA15" s="31">
        <v>12.43</v>
      </c>
      <c r="AB15" s="32">
        <f t="shared" si="1"/>
        <v>50.73</v>
      </c>
      <c r="AC15" s="31" t="s">
        <v>303</v>
      </c>
      <c r="AD15" s="31" t="s">
        <v>304</v>
      </c>
      <c r="AE15" s="31" t="s">
        <v>305</v>
      </c>
      <c r="AF15" s="31" t="s">
        <v>222</v>
      </c>
      <c r="AG15" s="31" t="s">
        <v>138</v>
      </c>
      <c r="AH15" s="31" t="s">
        <v>306</v>
      </c>
      <c r="AI15" s="31" t="s">
        <v>307</v>
      </c>
      <c r="AJ15" s="31" t="s">
        <v>171</v>
      </c>
      <c r="AK15" s="31" t="s">
        <v>308</v>
      </c>
      <c r="AL15" s="31" t="s">
        <v>138</v>
      </c>
      <c r="AM15" s="31" t="s">
        <v>309</v>
      </c>
      <c r="AN15" s="31" t="s">
        <v>310</v>
      </c>
      <c r="AO15" s="31" t="s">
        <v>311</v>
      </c>
    </row>
    <row r="16" spans="1:41" ht="90" customHeight="1" x14ac:dyDescent="0.2">
      <c r="A16" s="33" t="s">
        <v>312</v>
      </c>
      <c r="B16" s="34" t="s">
        <v>313</v>
      </c>
      <c r="C16" s="34" t="s">
        <v>314</v>
      </c>
      <c r="D16" s="34" t="s">
        <v>116</v>
      </c>
      <c r="E16" s="34" t="s">
        <v>117</v>
      </c>
      <c r="F16" s="34" t="s">
        <v>315</v>
      </c>
      <c r="G16" s="34" t="s">
        <v>316</v>
      </c>
      <c r="H16" s="34" t="s">
        <v>120</v>
      </c>
      <c r="I16" s="34" t="s">
        <v>121</v>
      </c>
      <c r="J16" s="34" t="s">
        <v>122</v>
      </c>
      <c r="K16" s="34" t="s">
        <v>123</v>
      </c>
      <c r="L16" s="34" t="s">
        <v>159</v>
      </c>
      <c r="M16" s="34" t="s">
        <v>160</v>
      </c>
      <c r="N16" s="34"/>
      <c r="O16" s="34" t="s">
        <v>317</v>
      </c>
      <c r="P16" s="34" t="s">
        <v>162</v>
      </c>
      <c r="Q16" s="34" t="s">
        <v>162</v>
      </c>
      <c r="R16" s="34"/>
      <c r="S16" s="34"/>
      <c r="T16" s="34" t="s">
        <v>318</v>
      </c>
      <c r="U16" s="34" t="s">
        <v>319</v>
      </c>
      <c r="V16" s="34" t="s">
        <v>320</v>
      </c>
      <c r="W16" s="34" t="s">
        <v>321</v>
      </c>
      <c r="X16" s="34">
        <v>155000</v>
      </c>
      <c r="Y16" s="34">
        <v>245000</v>
      </c>
      <c r="Z16" s="32">
        <f t="shared" si="0"/>
        <v>400000</v>
      </c>
      <c r="AA16" s="34">
        <v>3.1</v>
      </c>
      <c r="AB16" s="32">
        <f t="shared" si="1"/>
        <v>15.53</v>
      </c>
      <c r="AC16" s="34" t="s">
        <v>322</v>
      </c>
      <c r="AD16" s="34" t="s">
        <v>323</v>
      </c>
      <c r="AE16" s="34" t="s">
        <v>324</v>
      </c>
      <c r="AF16" s="34" t="s">
        <v>133</v>
      </c>
      <c r="AG16" s="34" t="s">
        <v>134</v>
      </c>
      <c r="AH16" s="34" t="s">
        <v>325</v>
      </c>
      <c r="AI16" s="34" t="s">
        <v>326</v>
      </c>
      <c r="AJ16" s="34" t="s">
        <v>171</v>
      </c>
      <c r="AK16" s="34" t="s">
        <v>327</v>
      </c>
      <c r="AL16" s="34" t="s">
        <v>138</v>
      </c>
      <c r="AM16" s="34" t="s">
        <v>328</v>
      </c>
      <c r="AN16" s="34" t="s">
        <v>329</v>
      </c>
      <c r="AO16" s="34" t="s">
        <v>330</v>
      </c>
    </row>
    <row r="17" spans="1:41" ht="90" customHeight="1" x14ac:dyDescent="0.2">
      <c r="A17" s="30" t="s">
        <v>331</v>
      </c>
      <c r="B17" s="31" t="s">
        <v>332</v>
      </c>
      <c r="C17" s="31" t="s">
        <v>333</v>
      </c>
      <c r="D17" s="31" t="s">
        <v>116</v>
      </c>
      <c r="E17" s="31" t="s">
        <v>117</v>
      </c>
      <c r="F17" s="31" t="s">
        <v>334</v>
      </c>
      <c r="G17" s="31" t="s">
        <v>316</v>
      </c>
      <c r="H17" s="31" t="s">
        <v>120</v>
      </c>
      <c r="I17" s="31" t="s">
        <v>121</v>
      </c>
      <c r="J17" s="31" t="s">
        <v>122</v>
      </c>
      <c r="K17" s="31" t="s">
        <v>123</v>
      </c>
      <c r="L17" s="31" t="s">
        <v>335</v>
      </c>
      <c r="M17" s="31" t="s">
        <v>160</v>
      </c>
      <c r="N17" s="31"/>
      <c r="O17" s="31" t="s">
        <v>336</v>
      </c>
      <c r="P17" s="31" t="s">
        <v>162</v>
      </c>
      <c r="Q17" s="31" t="s">
        <v>162</v>
      </c>
      <c r="R17" s="31"/>
      <c r="S17" s="31"/>
      <c r="T17" s="31" t="s">
        <v>337</v>
      </c>
      <c r="U17" s="31" t="s">
        <v>338</v>
      </c>
      <c r="V17" s="31" t="s">
        <v>339</v>
      </c>
      <c r="W17" s="31" t="s">
        <v>340</v>
      </c>
      <c r="X17" s="31">
        <v>62238000</v>
      </c>
      <c r="Y17" s="31">
        <v>8118000</v>
      </c>
      <c r="Z17" s="32">
        <f t="shared" si="0"/>
        <v>70356000</v>
      </c>
      <c r="AA17" s="31">
        <v>308.23</v>
      </c>
      <c r="AB17" s="32">
        <f t="shared" si="1"/>
        <v>311.33000000000004</v>
      </c>
      <c r="AC17" s="31" t="s">
        <v>341</v>
      </c>
      <c r="AD17" s="31" t="s">
        <v>342</v>
      </c>
      <c r="AE17" s="31" t="s">
        <v>343</v>
      </c>
      <c r="AF17" s="31" t="s">
        <v>214</v>
      </c>
      <c r="AG17" s="31" t="s">
        <v>138</v>
      </c>
      <c r="AH17" s="31" t="s">
        <v>344</v>
      </c>
      <c r="AI17" s="31" t="s">
        <v>345</v>
      </c>
      <c r="AJ17" s="31" t="s">
        <v>171</v>
      </c>
      <c r="AK17" s="31" t="s">
        <v>171</v>
      </c>
      <c r="AL17" s="31" t="s">
        <v>138</v>
      </c>
      <c r="AM17" s="31" t="s">
        <v>346</v>
      </c>
      <c r="AN17" s="31" t="s">
        <v>347</v>
      </c>
      <c r="AO17" s="31" t="s">
        <v>348</v>
      </c>
    </row>
    <row r="18" spans="1:41" ht="90" customHeight="1" x14ac:dyDescent="0.2">
      <c r="A18" s="33" t="s">
        <v>349</v>
      </c>
      <c r="B18" s="34" t="s">
        <v>350</v>
      </c>
      <c r="C18" s="34" t="s">
        <v>351</v>
      </c>
      <c r="D18" s="34" t="s">
        <v>116</v>
      </c>
      <c r="E18" s="34" t="s">
        <v>117</v>
      </c>
      <c r="F18" s="34" t="s">
        <v>352</v>
      </c>
      <c r="G18" s="34" t="s">
        <v>353</v>
      </c>
      <c r="H18" s="34" t="s">
        <v>354</v>
      </c>
      <c r="I18" s="34" t="s">
        <v>355</v>
      </c>
      <c r="J18" s="34" t="s">
        <v>354</v>
      </c>
      <c r="K18" s="34" t="s">
        <v>354</v>
      </c>
      <c r="L18" s="34" t="s">
        <v>354</v>
      </c>
      <c r="M18" s="34" t="s">
        <v>354</v>
      </c>
      <c r="N18" s="34" t="s">
        <v>354</v>
      </c>
      <c r="O18" s="34" t="s">
        <v>354</v>
      </c>
      <c r="P18" s="34" t="s">
        <v>354</v>
      </c>
      <c r="Q18" s="34" t="s">
        <v>354</v>
      </c>
      <c r="R18" s="34" t="s">
        <v>354</v>
      </c>
      <c r="S18" s="34" t="s">
        <v>354</v>
      </c>
      <c r="T18" s="34" t="s">
        <v>354</v>
      </c>
      <c r="U18" s="34" t="s">
        <v>354</v>
      </c>
      <c r="V18" s="34" t="s">
        <v>356</v>
      </c>
      <c r="W18" s="34" t="s">
        <v>357</v>
      </c>
      <c r="X18" s="34">
        <v>0</v>
      </c>
      <c r="Y18" s="34">
        <v>0</v>
      </c>
      <c r="Z18" s="32">
        <f t="shared" si="0"/>
        <v>0</v>
      </c>
      <c r="AA18" s="34">
        <v>0</v>
      </c>
      <c r="AB18" s="32">
        <f t="shared" si="1"/>
        <v>308.23</v>
      </c>
      <c r="AC18" s="34" t="s">
        <v>358</v>
      </c>
      <c r="AD18" s="34" t="s">
        <v>359</v>
      </c>
      <c r="AE18" s="34" t="s">
        <v>360</v>
      </c>
      <c r="AF18" s="34" t="s">
        <v>222</v>
      </c>
      <c r="AG18" s="34" t="s">
        <v>138</v>
      </c>
      <c r="AH18" s="34" t="s">
        <v>361</v>
      </c>
      <c r="AI18" s="34" t="s">
        <v>362</v>
      </c>
      <c r="AJ18" s="34" t="s">
        <v>354</v>
      </c>
      <c r="AK18" s="34" t="s">
        <v>354</v>
      </c>
      <c r="AL18" s="34" t="s">
        <v>138</v>
      </c>
      <c r="AM18" s="34" t="s">
        <v>363</v>
      </c>
      <c r="AN18" s="34" t="s">
        <v>364</v>
      </c>
      <c r="AO18" s="34" t="s">
        <v>365</v>
      </c>
    </row>
    <row r="19" spans="1:41" ht="24" customHeight="1" x14ac:dyDescent="0.2">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6" t="str">
        <f t="shared" ref="Z19:Z54" si="2">IF(AND(X19&lt;&gt;"",Y19&lt;&gt;""),X19+Y19,"")</f>
        <v/>
      </c>
      <c r="AA19" s="35"/>
      <c r="AB19" s="36" t="str">
        <f t="shared" ref="AB19:AB54" si="3">IF(AA19&lt;&gt;"",AA19+AB18,"")</f>
        <v/>
      </c>
      <c r="AC19" s="35"/>
      <c r="AD19" s="35"/>
      <c r="AE19" s="35"/>
      <c r="AF19" s="35"/>
      <c r="AG19" s="35"/>
      <c r="AH19" s="35"/>
      <c r="AI19" s="35"/>
      <c r="AJ19" s="35"/>
      <c r="AK19" s="35"/>
      <c r="AL19" s="35"/>
      <c r="AM19" s="35"/>
      <c r="AN19" s="35"/>
      <c r="AO19" s="35"/>
    </row>
    <row r="20" spans="1:41" ht="24" customHeight="1" x14ac:dyDescent="0.2">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6" t="str">
        <f t="shared" si="2"/>
        <v/>
      </c>
      <c r="AA20" s="37"/>
      <c r="AB20" s="36" t="str">
        <f t="shared" si="3"/>
        <v/>
      </c>
      <c r="AC20" s="37"/>
      <c r="AD20" s="37"/>
      <c r="AE20" s="37"/>
      <c r="AF20" s="37"/>
      <c r="AG20" s="37"/>
      <c r="AH20" s="37"/>
      <c r="AI20" s="37"/>
      <c r="AJ20" s="37"/>
      <c r="AK20" s="37"/>
      <c r="AL20" s="37"/>
      <c r="AM20" s="37"/>
      <c r="AN20" s="37"/>
      <c r="AO20" s="37"/>
    </row>
    <row r="21" spans="1:41" ht="24" customHeight="1" x14ac:dyDescent="0.2">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6" t="str">
        <f t="shared" si="2"/>
        <v/>
      </c>
      <c r="AA21" s="35"/>
      <c r="AB21" s="36" t="str">
        <f t="shared" si="3"/>
        <v/>
      </c>
      <c r="AC21" s="35"/>
      <c r="AD21" s="35"/>
      <c r="AE21" s="35"/>
      <c r="AF21" s="35"/>
      <c r="AG21" s="35"/>
      <c r="AH21" s="35"/>
      <c r="AI21" s="35"/>
      <c r="AJ21" s="35"/>
      <c r="AK21" s="35"/>
      <c r="AL21" s="35"/>
      <c r="AM21" s="35"/>
      <c r="AN21" s="35"/>
      <c r="AO21" s="35"/>
    </row>
    <row r="22" spans="1:41" ht="24" customHeight="1" x14ac:dyDescent="0.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6" t="str">
        <f t="shared" si="2"/>
        <v/>
      </c>
      <c r="AA22" s="37"/>
      <c r="AB22" s="36" t="str">
        <f t="shared" si="3"/>
        <v/>
      </c>
      <c r="AC22" s="37"/>
      <c r="AD22" s="37"/>
      <c r="AE22" s="37"/>
      <c r="AF22" s="37"/>
      <c r="AG22" s="37"/>
      <c r="AH22" s="37"/>
      <c r="AI22" s="37"/>
      <c r="AJ22" s="37"/>
      <c r="AK22" s="37"/>
      <c r="AL22" s="37"/>
      <c r="AM22" s="37"/>
      <c r="AN22" s="37"/>
      <c r="AO22" s="37"/>
    </row>
    <row r="23" spans="1:41" ht="24" customHeight="1" x14ac:dyDescent="0.2">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6" t="str">
        <f t="shared" si="2"/>
        <v/>
      </c>
      <c r="AA23" s="35"/>
      <c r="AB23" s="36" t="str">
        <f t="shared" si="3"/>
        <v/>
      </c>
      <c r="AC23" s="35"/>
      <c r="AD23" s="35"/>
      <c r="AE23" s="35"/>
      <c r="AF23" s="35"/>
      <c r="AG23" s="35"/>
      <c r="AH23" s="35"/>
      <c r="AI23" s="35"/>
      <c r="AJ23" s="35"/>
      <c r="AK23" s="35"/>
      <c r="AL23" s="35"/>
      <c r="AM23" s="35"/>
      <c r="AN23" s="35"/>
      <c r="AO23" s="35"/>
    </row>
    <row r="24" spans="1:41" ht="24" customHeight="1" x14ac:dyDescent="0.2">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6" t="str">
        <f t="shared" si="2"/>
        <v/>
      </c>
      <c r="AA24" s="37"/>
      <c r="AB24" s="36" t="str">
        <f t="shared" si="3"/>
        <v/>
      </c>
      <c r="AC24" s="37"/>
      <c r="AD24" s="37"/>
      <c r="AE24" s="37"/>
      <c r="AF24" s="37"/>
      <c r="AG24" s="37"/>
      <c r="AH24" s="37"/>
      <c r="AI24" s="37"/>
      <c r="AJ24" s="37"/>
      <c r="AK24" s="37"/>
      <c r="AL24" s="37"/>
      <c r="AM24" s="37"/>
      <c r="AN24" s="37"/>
      <c r="AO24" s="37"/>
    </row>
    <row r="25" spans="1:41" ht="24" customHeight="1" x14ac:dyDescent="0.2">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6" t="str">
        <f t="shared" si="2"/>
        <v/>
      </c>
      <c r="AA25" s="35"/>
      <c r="AB25" s="36" t="str">
        <f t="shared" si="3"/>
        <v/>
      </c>
      <c r="AC25" s="35"/>
      <c r="AD25" s="35"/>
      <c r="AE25" s="35"/>
      <c r="AF25" s="35"/>
      <c r="AG25" s="35"/>
      <c r="AH25" s="35"/>
      <c r="AI25" s="35"/>
      <c r="AJ25" s="35"/>
      <c r="AK25" s="35"/>
      <c r="AL25" s="35"/>
      <c r="AM25" s="35"/>
      <c r="AN25" s="35"/>
      <c r="AO25" s="35"/>
    </row>
    <row r="26" spans="1:41" ht="24" customHeight="1" x14ac:dyDescent="0.2">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6" t="str">
        <f t="shared" si="2"/>
        <v/>
      </c>
      <c r="AA26" s="37"/>
      <c r="AB26" s="36" t="str">
        <f t="shared" si="3"/>
        <v/>
      </c>
      <c r="AC26" s="37"/>
      <c r="AD26" s="37"/>
      <c r="AE26" s="37"/>
      <c r="AF26" s="37"/>
      <c r="AG26" s="37"/>
      <c r="AH26" s="37"/>
      <c r="AI26" s="37"/>
      <c r="AJ26" s="37"/>
      <c r="AK26" s="37"/>
      <c r="AL26" s="37"/>
      <c r="AM26" s="37"/>
      <c r="AN26" s="37"/>
      <c r="AO26" s="37"/>
    </row>
    <row r="27" spans="1:41" ht="24" customHeight="1" x14ac:dyDescent="0.2">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6" t="str">
        <f t="shared" si="2"/>
        <v/>
      </c>
      <c r="AA27" s="35"/>
      <c r="AB27" s="36" t="str">
        <f t="shared" si="3"/>
        <v/>
      </c>
      <c r="AC27" s="35"/>
      <c r="AD27" s="35"/>
      <c r="AE27" s="35"/>
      <c r="AF27" s="35"/>
      <c r="AG27" s="35"/>
      <c r="AH27" s="35"/>
      <c r="AI27" s="35"/>
      <c r="AJ27" s="35"/>
      <c r="AK27" s="35"/>
      <c r="AL27" s="35"/>
      <c r="AM27" s="35"/>
      <c r="AN27" s="35"/>
      <c r="AO27" s="35"/>
    </row>
    <row r="28" spans="1:41" ht="24" customHeight="1" x14ac:dyDescent="0.2">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6" t="str">
        <f t="shared" si="2"/>
        <v/>
      </c>
      <c r="AA28" s="37"/>
      <c r="AB28" s="36" t="str">
        <f t="shared" si="3"/>
        <v/>
      </c>
      <c r="AC28" s="37"/>
      <c r="AD28" s="37"/>
      <c r="AE28" s="37"/>
      <c r="AF28" s="37"/>
      <c r="AG28" s="37"/>
      <c r="AH28" s="37"/>
      <c r="AI28" s="37"/>
      <c r="AJ28" s="37"/>
      <c r="AK28" s="37"/>
      <c r="AL28" s="37"/>
      <c r="AM28" s="37"/>
      <c r="AN28" s="37"/>
      <c r="AO28" s="37"/>
    </row>
    <row r="29" spans="1:41" ht="24" customHeight="1" x14ac:dyDescent="0.2">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6" t="str">
        <f t="shared" si="2"/>
        <v/>
      </c>
      <c r="AA29" s="35"/>
      <c r="AB29" s="36" t="str">
        <f t="shared" si="3"/>
        <v/>
      </c>
      <c r="AC29" s="35"/>
      <c r="AD29" s="35"/>
      <c r="AE29" s="35"/>
      <c r="AF29" s="35"/>
      <c r="AG29" s="35"/>
      <c r="AH29" s="35"/>
      <c r="AI29" s="35"/>
      <c r="AJ29" s="35"/>
      <c r="AK29" s="35"/>
      <c r="AL29" s="35"/>
      <c r="AM29" s="35"/>
      <c r="AN29" s="35"/>
      <c r="AO29" s="35"/>
    </row>
    <row r="30" spans="1:41" ht="24" customHeight="1" x14ac:dyDescent="0.2">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6" t="str">
        <f t="shared" si="2"/>
        <v/>
      </c>
      <c r="AA30" s="37"/>
      <c r="AB30" s="36" t="str">
        <f t="shared" si="3"/>
        <v/>
      </c>
      <c r="AC30" s="37"/>
      <c r="AD30" s="37"/>
      <c r="AE30" s="37"/>
      <c r="AF30" s="37"/>
      <c r="AG30" s="37"/>
      <c r="AH30" s="37"/>
      <c r="AI30" s="37"/>
      <c r="AJ30" s="37"/>
      <c r="AK30" s="37"/>
      <c r="AL30" s="37"/>
      <c r="AM30" s="37"/>
      <c r="AN30" s="37"/>
      <c r="AO30" s="37"/>
    </row>
    <row r="31" spans="1:41" ht="24" customHeight="1" x14ac:dyDescent="0.2">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6" t="str">
        <f t="shared" si="2"/>
        <v/>
      </c>
      <c r="AA31" s="35"/>
      <c r="AB31" s="36" t="str">
        <f t="shared" si="3"/>
        <v/>
      </c>
      <c r="AC31" s="35"/>
      <c r="AD31" s="35"/>
      <c r="AE31" s="35"/>
      <c r="AF31" s="35"/>
      <c r="AG31" s="35"/>
      <c r="AH31" s="35"/>
      <c r="AI31" s="35"/>
      <c r="AJ31" s="35"/>
      <c r="AK31" s="35"/>
      <c r="AL31" s="35"/>
      <c r="AM31" s="35"/>
      <c r="AN31" s="35"/>
      <c r="AO31" s="35"/>
    </row>
    <row r="32" spans="1:41" ht="24" customHeight="1" x14ac:dyDescent="0.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6" t="str">
        <f t="shared" si="2"/>
        <v/>
      </c>
      <c r="AA32" s="37"/>
      <c r="AB32" s="36" t="str">
        <f t="shared" si="3"/>
        <v/>
      </c>
      <c r="AC32" s="37"/>
      <c r="AD32" s="37"/>
      <c r="AE32" s="37"/>
      <c r="AF32" s="37"/>
      <c r="AG32" s="37"/>
      <c r="AH32" s="37"/>
      <c r="AI32" s="37"/>
      <c r="AJ32" s="37"/>
      <c r="AK32" s="37"/>
      <c r="AL32" s="37"/>
      <c r="AM32" s="37"/>
      <c r="AN32" s="37"/>
      <c r="AO32" s="37"/>
    </row>
    <row r="33" spans="1:41" ht="24" customHeight="1" x14ac:dyDescent="0.2">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6" t="str">
        <f t="shared" si="2"/>
        <v/>
      </c>
      <c r="AA33" s="35"/>
      <c r="AB33" s="36" t="str">
        <f t="shared" si="3"/>
        <v/>
      </c>
      <c r="AC33" s="35"/>
      <c r="AD33" s="35"/>
      <c r="AE33" s="35"/>
      <c r="AF33" s="35"/>
      <c r="AG33" s="35"/>
      <c r="AH33" s="35"/>
      <c r="AI33" s="35"/>
      <c r="AJ33" s="35"/>
      <c r="AK33" s="35"/>
      <c r="AL33" s="35"/>
      <c r="AM33" s="35"/>
      <c r="AN33" s="35"/>
      <c r="AO33" s="35"/>
    </row>
    <row r="34" spans="1:41" ht="24" customHeight="1" x14ac:dyDescent="0.2">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6" t="str">
        <f t="shared" si="2"/>
        <v/>
      </c>
      <c r="AA34" s="37"/>
      <c r="AB34" s="36" t="str">
        <f t="shared" si="3"/>
        <v/>
      </c>
      <c r="AC34" s="37"/>
      <c r="AD34" s="37"/>
      <c r="AE34" s="37"/>
      <c r="AF34" s="37"/>
      <c r="AG34" s="37"/>
      <c r="AH34" s="37"/>
      <c r="AI34" s="37"/>
      <c r="AJ34" s="37"/>
      <c r="AK34" s="37"/>
      <c r="AL34" s="37"/>
      <c r="AM34" s="37"/>
      <c r="AN34" s="37"/>
      <c r="AO34" s="37"/>
    </row>
    <row r="35" spans="1:41" ht="24" customHeight="1" x14ac:dyDescent="0.2">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6" t="str">
        <f t="shared" si="2"/>
        <v/>
      </c>
      <c r="AA35" s="35"/>
      <c r="AB35" s="36" t="str">
        <f t="shared" si="3"/>
        <v/>
      </c>
      <c r="AC35" s="35"/>
      <c r="AD35" s="35"/>
      <c r="AE35" s="35"/>
      <c r="AF35" s="35"/>
      <c r="AG35" s="35"/>
      <c r="AH35" s="35"/>
      <c r="AI35" s="35"/>
      <c r="AJ35" s="35"/>
      <c r="AK35" s="35"/>
      <c r="AL35" s="35"/>
      <c r="AM35" s="35"/>
      <c r="AN35" s="35"/>
      <c r="AO35" s="35"/>
    </row>
    <row r="36" spans="1:41" ht="24" customHeight="1" x14ac:dyDescent="0.2">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6" t="str">
        <f t="shared" si="2"/>
        <v/>
      </c>
      <c r="AA36" s="37"/>
      <c r="AB36" s="36" t="str">
        <f t="shared" si="3"/>
        <v/>
      </c>
      <c r="AC36" s="37"/>
      <c r="AD36" s="37"/>
      <c r="AE36" s="37"/>
      <c r="AF36" s="37"/>
      <c r="AG36" s="37"/>
      <c r="AH36" s="37"/>
      <c r="AI36" s="37"/>
      <c r="AJ36" s="37"/>
      <c r="AK36" s="37"/>
      <c r="AL36" s="37"/>
      <c r="AM36" s="37"/>
      <c r="AN36" s="37"/>
      <c r="AO36" s="37"/>
    </row>
    <row r="37" spans="1:41" ht="24" customHeight="1" x14ac:dyDescent="0.2">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6" t="str">
        <f t="shared" si="2"/>
        <v/>
      </c>
      <c r="AA37" s="35"/>
      <c r="AB37" s="36" t="str">
        <f t="shared" si="3"/>
        <v/>
      </c>
      <c r="AC37" s="35"/>
      <c r="AD37" s="35"/>
      <c r="AE37" s="35"/>
      <c r="AF37" s="35"/>
      <c r="AG37" s="35"/>
      <c r="AH37" s="35"/>
      <c r="AI37" s="35"/>
      <c r="AJ37" s="35"/>
      <c r="AK37" s="35"/>
      <c r="AL37" s="35"/>
      <c r="AM37" s="35"/>
      <c r="AN37" s="35"/>
      <c r="AO37" s="35"/>
    </row>
    <row r="38" spans="1:41" ht="24" customHeight="1" x14ac:dyDescent="0.2">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6" t="str">
        <f t="shared" si="2"/>
        <v/>
      </c>
      <c r="AA38" s="37"/>
      <c r="AB38" s="36" t="str">
        <f t="shared" si="3"/>
        <v/>
      </c>
      <c r="AC38" s="37"/>
      <c r="AD38" s="37"/>
      <c r="AE38" s="37"/>
      <c r="AF38" s="37"/>
      <c r="AG38" s="37"/>
      <c r="AH38" s="37"/>
      <c r="AI38" s="37"/>
      <c r="AJ38" s="37"/>
      <c r="AK38" s="37"/>
      <c r="AL38" s="37"/>
      <c r="AM38" s="37"/>
      <c r="AN38" s="37"/>
      <c r="AO38" s="37"/>
    </row>
    <row r="39" spans="1:41" ht="24" customHeight="1" x14ac:dyDescent="0.2">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6" t="str">
        <f t="shared" si="2"/>
        <v/>
      </c>
      <c r="AA39" s="35"/>
      <c r="AB39" s="36" t="str">
        <f t="shared" si="3"/>
        <v/>
      </c>
      <c r="AC39" s="35"/>
      <c r="AD39" s="35"/>
      <c r="AE39" s="35"/>
      <c r="AF39" s="35"/>
      <c r="AG39" s="35"/>
      <c r="AH39" s="35"/>
      <c r="AI39" s="35"/>
      <c r="AJ39" s="35"/>
      <c r="AK39" s="35"/>
      <c r="AL39" s="35"/>
      <c r="AM39" s="35"/>
      <c r="AN39" s="35"/>
      <c r="AO39" s="35"/>
    </row>
    <row r="40" spans="1:41" ht="24" customHeight="1" x14ac:dyDescent="0.2">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6" t="str">
        <f t="shared" si="2"/>
        <v/>
      </c>
      <c r="AA40" s="37"/>
      <c r="AB40" s="36" t="str">
        <f t="shared" si="3"/>
        <v/>
      </c>
      <c r="AC40" s="37"/>
      <c r="AD40" s="37"/>
      <c r="AE40" s="37"/>
      <c r="AF40" s="37"/>
      <c r="AG40" s="37"/>
      <c r="AH40" s="37"/>
      <c r="AI40" s="37"/>
      <c r="AJ40" s="37"/>
      <c r="AK40" s="37"/>
      <c r="AL40" s="37"/>
      <c r="AM40" s="37"/>
      <c r="AN40" s="37"/>
      <c r="AO40" s="37"/>
    </row>
    <row r="41" spans="1:41" ht="24" customHeight="1" x14ac:dyDescent="0.2">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6" t="str">
        <f t="shared" si="2"/>
        <v/>
      </c>
      <c r="AA41" s="35"/>
      <c r="AB41" s="36" t="str">
        <f t="shared" si="3"/>
        <v/>
      </c>
      <c r="AC41" s="35"/>
      <c r="AD41" s="35"/>
      <c r="AE41" s="35"/>
      <c r="AF41" s="35"/>
      <c r="AG41" s="35"/>
      <c r="AH41" s="35"/>
      <c r="AI41" s="35"/>
      <c r="AJ41" s="35"/>
      <c r="AK41" s="35"/>
      <c r="AL41" s="35"/>
      <c r="AM41" s="35"/>
      <c r="AN41" s="35"/>
      <c r="AO41" s="35"/>
    </row>
    <row r="42" spans="1:41" ht="24" customHeight="1" x14ac:dyDescent="0.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6" t="str">
        <f t="shared" si="2"/>
        <v/>
      </c>
      <c r="AA42" s="37"/>
      <c r="AB42" s="36" t="str">
        <f t="shared" si="3"/>
        <v/>
      </c>
      <c r="AC42" s="37"/>
      <c r="AD42" s="37"/>
      <c r="AE42" s="37"/>
      <c r="AF42" s="37"/>
      <c r="AG42" s="37"/>
      <c r="AH42" s="37"/>
      <c r="AI42" s="37"/>
      <c r="AJ42" s="37"/>
      <c r="AK42" s="37"/>
      <c r="AL42" s="37"/>
      <c r="AM42" s="37"/>
      <c r="AN42" s="37"/>
      <c r="AO42" s="37"/>
    </row>
    <row r="43" spans="1:41" ht="24" customHeight="1" x14ac:dyDescent="0.2">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6" t="str">
        <f t="shared" si="2"/>
        <v/>
      </c>
      <c r="AA43" s="35"/>
      <c r="AB43" s="36" t="str">
        <f t="shared" si="3"/>
        <v/>
      </c>
      <c r="AC43" s="35"/>
      <c r="AD43" s="35"/>
      <c r="AE43" s="35"/>
      <c r="AF43" s="35"/>
      <c r="AG43" s="35"/>
      <c r="AH43" s="35"/>
      <c r="AI43" s="35"/>
      <c r="AJ43" s="35"/>
      <c r="AK43" s="35"/>
      <c r="AL43" s="35"/>
      <c r="AM43" s="35"/>
      <c r="AN43" s="35"/>
      <c r="AO43" s="35"/>
    </row>
    <row r="44" spans="1:41" ht="24" customHeight="1" x14ac:dyDescent="0.2">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6" t="str">
        <f t="shared" si="2"/>
        <v/>
      </c>
      <c r="AA44" s="37"/>
      <c r="AB44" s="36" t="str">
        <f t="shared" si="3"/>
        <v/>
      </c>
      <c r="AC44" s="37"/>
      <c r="AD44" s="37"/>
      <c r="AE44" s="37"/>
      <c r="AF44" s="37"/>
      <c r="AG44" s="37"/>
      <c r="AH44" s="37"/>
      <c r="AI44" s="37"/>
      <c r="AJ44" s="37"/>
      <c r="AK44" s="37"/>
      <c r="AL44" s="37"/>
      <c r="AM44" s="37"/>
      <c r="AN44" s="37"/>
      <c r="AO44" s="37"/>
    </row>
    <row r="45" spans="1:41" ht="24" customHeight="1" x14ac:dyDescent="0.2">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6" t="str">
        <f t="shared" si="2"/>
        <v/>
      </c>
      <c r="AA45" s="35"/>
      <c r="AB45" s="36" t="str">
        <f t="shared" si="3"/>
        <v/>
      </c>
      <c r="AC45" s="35"/>
      <c r="AD45" s="35"/>
      <c r="AE45" s="35"/>
      <c r="AF45" s="35"/>
      <c r="AG45" s="35"/>
      <c r="AH45" s="35"/>
      <c r="AI45" s="35"/>
      <c r="AJ45" s="35"/>
      <c r="AK45" s="35"/>
      <c r="AL45" s="35"/>
      <c r="AM45" s="35"/>
      <c r="AN45" s="35"/>
      <c r="AO45" s="35"/>
    </row>
    <row r="46" spans="1:41" ht="24" customHeight="1" x14ac:dyDescent="0.2">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6" t="str">
        <f t="shared" si="2"/>
        <v/>
      </c>
      <c r="AA46" s="37"/>
      <c r="AB46" s="36" t="str">
        <f t="shared" si="3"/>
        <v/>
      </c>
      <c r="AC46" s="37"/>
      <c r="AD46" s="37"/>
      <c r="AE46" s="37"/>
      <c r="AF46" s="37"/>
      <c r="AG46" s="37"/>
      <c r="AH46" s="37"/>
      <c r="AI46" s="37"/>
      <c r="AJ46" s="37"/>
      <c r="AK46" s="37"/>
      <c r="AL46" s="37"/>
      <c r="AM46" s="37"/>
      <c r="AN46" s="37"/>
      <c r="AO46" s="37"/>
    </row>
    <row r="47" spans="1:41" ht="24" customHeight="1" x14ac:dyDescent="0.2">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6" t="str">
        <f t="shared" si="2"/>
        <v/>
      </c>
      <c r="AA47" s="35"/>
      <c r="AB47" s="36" t="str">
        <f t="shared" si="3"/>
        <v/>
      </c>
      <c r="AC47" s="35"/>
      <c r="AD47" s="35"/>
      <c r="AE47" s="35"/>
      <c r="AF47" s="35"/>
      <c r="AG47" s="35"/>
      <c r="AH47" s="35"/>
      <c r="AI47" s="35"/>
      <c r="AJ47" s="35"/>
      <c r="AK47" s="35"/>
      <c r="AL47" s="35"/>
      <c r="AM47" s="35"/>
      <c r="AN47" s="35"/>
      <c r="AO47" s="35"/>
    </row>
    <row r="48" spans="1:41" ht="24" customHeight="1" x14ac:dyDescent="0.2">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6" t="str">
        <f t="shared" si="2"/>
        <v/>
      </c>
      <c r="AA48" s="37"/>
      <c r="AB48" s="36" t="str">
        <f t="shared" si="3"/>
        <v/>
      </c>
      <c r="AC48" s="37"/>
      <c r="AD48" s="37"/>
      <c r="AE48" s="37"/>
      <c r="AF48" s="37"/>
      <c r="AG48" s="37"/>
      <c r="AH48" s="37"/>
      <c r="AI48" s="37"/>
      <c r="AJ48" s="37"/>
      <c r="AK48" s="37"/>
      <c r="AL48" s="37"/>
      <c r="AM48" s="37"/>
      <c r="AN48" s="37"/>
      <c r="AO48" s="37"/>
    </row>
    <row r="49" spans="1:41" ht="24" customHeight="1" x14ac:dyDescent="0.2">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6" t="str">
        <f t="shared" si="2"/>
        <v/>
      </c>
      <c r="AA49" s="35"/>
      <c r="AB49" s="36" t="str">
        <f t="shared" si="3"/>
        <v/>
      </c>
      <c r="AC49" s="35"/>
      <c r="AD49" s="35"/>
      <c r="AE49" s="35"/>
      <c r="AF49" s="35"/>
      <c r="AG49" s="35"/>
      <c r="AH49" s="35"/>
      <c r="AI49" s="35"/>
      <c r="AJ49" s="35"/>
      <c r="AK49" s="35"/>
      <c r="AL49" s="35"/>
      <c r="AM49" s="35"/>
      <c r="AN49" s="35"/>
      <c r="AO49" s="35"/>
    </row>
    <row r="50" spans="1:41" ht="24" customHeight="1" x14ac:dyDescent="0.2">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6" t="str">
        <f t="shared" si="2"/>
        <v/>
      </c>
      <c r="AA50" s="37"/>
      <c r="AB50" s="36" t="str">
        <f t="shared" si="3"/>
        <v/>
      </c>
      <c r="AC50" s="37"/>
      <c r="AD50" s="37"/>
      <c r="AE50" s="37"/>
      <c r="AF50" s="37"/>
      <c r="AG50" s="37"/>
      <c r="AH50" s="37"/>
      <c r="AI50" s="37"/>
      <c r="AJ50" s="37"/>
      <c r="AK50" s="37"/>
      <c r="AL50" s="37"/>
      <c r="AM50" s="37"/>
      <c r="AN50" s="37"/>
      <c r="AO50" s="37"/>
    </row>
    <row r="51" spans="1:41" ht="24" customHeight="1" x14ac:dyDescent="0.2">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6" t="str">
        <f t="shared" si="2"/>
        <v/>
      </c>
      <c r="AA51" s="35"/>
      <c r="AB51" s="36" t="str">
        <f t="shared" si="3"/>
        <v/>
      </c>
      <c r="AC51" s="35"/>
      <c r="AD51" s="35"/>
      <c r="AE51" s="35"/>
      <c r="AF51" s="35"/>
      <c r="AG51" s="35"/>
      <c r="AH51" s="35"/>
      <c r="AI51" s="35"/>
      <c r="AJ51" s="35"/>
      <c r="AK51" s="35"/>
      <c r="AL51" s="35"/>
      <c r="AM51" s="35"/>
      <c r="AN51" s="35"/>
      <c r="AO51" s="35"/>
    </row>
    <row r="52" spans="1:41" ht="24" customHeight="1" x14ac:dyDescent="0.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6" t="str">
        <f t="shared" si="2"/>
        <v/>
      </c>
      <c r="AA52" s="37"/>
      <c r="AB52" s="36" t="str">
        <f t="shared" si="3"/>
        <v/>
      </c>
      <c r="AC52" s="37"/>
      <c r="AD52" s="37"/>
      <c r="AE52" s="37"/>
      <c r="AF52" s="37"/>
      <c r="AG52" s="37"/>
      <c r="AH52" s="37"/>
      <c r="AI52" s="37"/>
      <c r="AJ52" s="37"/>
      <c r="AK52" s="37"/>
      <c r="AL52" s="37"/>
      <c r="AM52" s="37"/>
      <c r="AN52" s="37"/>
      <c r="AO52" s="37"/>
    </row>
    <row r="53" spans="1:41" ht="24" customHeight="1" x14ac:dyDescent="0.2">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6" t="str">
        <f t="shared" si="2"/>
        <v/>
      </c>
      <c r="AA53" s="35"/>
      <c r="AB53" s="36" t="str">
        <f t="shared" si="3"/>
        <v/>
      </c>
      <c r="AC53" s="35"/>
      <c r="AD53" s="35"/>
      <c r="AE53" s="35"/>
      <c r="AF53" s="35"/>
      <c r="AG53" s="35"/>
      <c r="AH53" s="35"/>
      <c r="AI53" s="35"/>
      <c r="AJ53" s="35"/>
      <c r="AK53" s="35"/>
      <c r="AL53" s="35"/>
      <c r="AM53" s="35"/>
      <c r="AN53" s="35"/>
      <c r="AO53" s="35"/>
    </row>
    <row r="54" spans="1:41" ht="24" customHeight="1" x14ac:dyDescent="0.2">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6" t="str">
        <f t="shared" si="2"/>
        <v/>
      </c>
      <c r="AA54" s="37"/>
      <c r="AB54" s="36" t="str">
        <f t="shared" si="3"/>
        <v/>
      </c>
      <c r="AC54" s="37"/>
      <c r="AD54" s="37"/>
      <c r="AE54" s="37"/>
      <c r="AF54" s="37"/>
      <c r="AG54" s="37"/>
      <c r="AH54" s="37"/>
      <c r="AI54" s="37"/>
      <c r="AJ54" s="37"/>
      <c r="AK54" s="37"/>
      <c r="AL54" s="37"/>
      <c r="AM54" s="37"/>
      <c r="AN54" s="37"/>
      <c r="AO54" s="37"/>
    </row>
  </sheetData>
  <mergeCells count="8">
    <mergeCell ref="AC1:AI1"/>
    <mergeCell ref="AJ1:AM1"/>
    <mergeCell ref="AN1:AO1"/>
    <mergeCell ref="A1:F1"/>
    <mergeCell ref="G1:K1"/>
    <mergeCell ref="L1:S1"/>
    <mergeCell ref="T1:W1"/>
    <mergeCell ref="X1:AB1"/>
  </mergeCells>
  <conditionalFormatting sqref="AH4:AH54">
    <cfRule type="colorScale" priority="2">
      <colorScale>
        <cfvo type="num" val="1"/>
        <cfvo type="num" val="3"/>
        <cfvo type="num" val="5"/>
        <color rgb="FFFF4444"/>
        <color rgb="FFFFDD44"/>
        <color rgb="FF44BB44"/>
      </colorScale>
    </cfRule>
  </conditionalFormatting>
  <dataValidations count="6">
    <dataValidation type="list" allowBlank="1" sqref="H4:H54" xr:uid="{00000000-0002-0000-0100-000000000000}">
      <formula1>"Open,Closed,Open-weight"</formula1>
      <formula2>0</formula2>
    </dataValidation>
    <dataValidation type="list" allowBlank="1" sqref="I4:I54" xr:uid="{00000000-0002-0000-0100-000001000000}">
      <formula1>"Cloud,Local,Both"</formula1>
      <formula2>0</formula2>
    </dataValidation>
    <dataValidation type="list" allowBlank="1" sqref="AH4:AH54" xr:uid="{00000000-0002-0000-0100-000002000000}">
      <formula1>"1,2,3,4,5"</formula1>
      <formula2>0</formula2>
    </dataValidation>
    <dataValidation type="list" allowBlank="1" sqref="AI4:AI54" xr:uid="{00000000-0002-0000-0100-000003000000}">
      <formula1>"Yes,Partial,No"</formula1>
      <formula2>0</formula2>
    </dataValidation>
    <dataValidation type="list" allowBlank="1" sqref="AJ4:AJ54" xr:uid="{00000000-0002-0000-0100-000004000000}">
      <formula1>"Yes,No,Unsure"</formula1>
      <formula2>0</formula2>
    </dataValidation>
    <dataValidation type="list" allowBlank="1" sqref="AL4:AL54" xr:uid="{00000000-0002-0000-0100-000005000000}">
      <formula1>"Yes,No"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2"/>
  <sheetViews>
    <sheetView showGridLines="0" zoomScaleNormal="100" workbookViewId="0">
      <pane ySplit="2" topLeftCell="A18" activePane="bottomLeft" state="frozen"/>
      <selection pane="bottomLeft" activeCell="E15" sqref="E15"/>
    </sheetView>
  </sheetViews>
  <sheetFormatPr baseColWidth="10" defaultColWidth="8.6640625" defaultRowHeight="15" x14ac:dyDescent="0.2"/>
  <cols>
    <col min="1" max="1" width="12" customWidth="1"/>
    <col min="2" max="2" width="16" customWidth="1"/>
    <col min="3" max="4" width="18" customWidth="1"/>
    <col min="5" max="5" width="55" customWidth="1"/>
    <col min="6" max="7" width="35" customWidth="1"/>
    <col min="8" max="8" width="18" customWidth="1"/>
    <col min="9" max="9" width="20" customWidth="1"/>
  </cols>
  <sheetData>
    <row r="1" spans="1:9" ht="30" customHeight="1" x14ac:dyDescent="0.2">
      <c r="A1" s="2" t="s">
        <v>366</v>
      </c>
      <c r="B1" s="2"/>
      <c r="C1" s="2"/>
      <c r="D1" s="2"/>
      <c r="E1" s="2"/>
      <c r="F1" s="2"/>
      <c r="G1" s="2"/>
      <c r="H1" s="2"/>
      <c r="I1" s="2"/>
    </row>
    <row r="2" spans="1:9" ht="36" customHeight="1" x14ac:dyDescent="0.2">
      <c r="A2" s="20" t="s">
        <v>367</v>
      </c>
      <c r="B2" s="20" t="s">
        <v>368</v>
      </c>
      <c r="C2" s="20" t="s">
        <v>369</v>
      </c>
      <c r="D2" s="20" t="s">
        <v>370</v>
      </c>
      <c r="E2" s="20" t="s">
        <v>371</v>
      </c>
      <c r="F2" s="20" t="s">
        <v>372</v>
      </c>
      <c r="G2" s="20" t="s">
        <v>373</v>
      </c>
      <c r="H2" s="20" t="s">
        <v>374</v>
      </c>
      <c r="I2" s="20" t="s">
        <v>375</v>
      </c>
    </row>
    <row r="3" spans="1:9" ht="120" customHeight="1" x14ac:dyDescent="0.2">
      <c r="A3" s="29" t="s">
        <v>126</v>
      </c>
      <c r="B3" s="29" t="s">
        <v>376</v>
      </c>
      <c r="C3" s="29" t="s">
        <v>377</v>
      </c>
      <c r="D3" s="29" t="s">
        <v>116</v>
      </c>
      <c r="E3" s="29" t="s">
        <v>378</v>
      </c>
      <c r="F3" s="29" t="s">
        <v>379</v>
      </c>
      <c r="G3" s="29" t="s">
        <v>380</v>
      </c>
      <c r="H3" s="29" t="s">
        <v>381</v>
      </c>
      <c r="I3" s="29" t="s">
        <v>382</v>
      </c>
    </row>
    <row r="4" spans="1:9" ht="120" customHeight="1" x14ac:dyDescent="0.2">
      <c r="A4" s="38" t="s">
        <v>127</v>
      </c>
      <c r="B4" s="38" t="s">
        <v>383</v>
      </c>
      <c r="C4" s="38" t="s">
        <v>377</v>
      </c>
      <c r="D4" s="38" t="s">
        <v>116</v>
      </c>
      <c r="E4" s="38" t="s">
        <v>384</v>
      </c>
      <c r="F4" s="38" t="s">
        <v>128</v>
      </c>
      <c r="G4" s="38" t="s">
        <v>385</v>
      </c>
      <c r="H4" s="38" t="s">
        <v>381</v>
      </c>
      <c r="I4" s="38" t="s">
        <v>382</v>
      </c>
    </row>
    <row r="5" spans="1:9" ht="120" customHeight="1" x14ac:dyDescent="0.2">
      <c r="A5" s="29" t="s">
        <v>164</v>
      </c>
      <c r="B5" s="29" t="s">
        <v>376</v>
      </c>
      <c r="C5" s="29" t="s">
        <v>386</v>
      </c>
      <c r="D5" s="29" t="s">
        <v>116</v>
      </c>
      <c r="E5" s="29" t="s">
        <v>387</v>
      </c>
      <c r="F5" s="29" t="s">
        <v>388</v>
      </c>
      <c r="G5" s="29" t="s">
        <v>389</v>
      </c>
      <c r="H5" s="29" t="s">
        <v>155</v>
      </c>
      <c r="I5" s="29" t="s">
        <v>382</v>
      </c>
    </row>
    <row r="6" spans="1:9" ht="120" customHeight="1" x14ac:dyDescent="0.2">
      <c r="A6" s="38" t="s">
        <v>182</v>
      </c>
      <c r="B6" s="38" t="s">
        <v>376</v>
      </c>
      <c r="C6" s="38" t="s">
        <v>390</v>
      </c>
      <c r="D6" s="38" t="s">
        <v>116</v>
      </c>
      <c r="E6" s="38" t="s">
        <v>391</v>
      </c>
      <c r="F6" s="38" t="s">
        <v>183</v>
      </c>
      <c r="G6" s="38" t="s">
        <v>392</v>
      </c>
      <c r="H6" s="38" t="s">
        <v>179</v>
      </c>
      <c r="I6" s="38" t="s">
        <v>382</v>
      </c>
    </row>
    <row r="7" spans="1:9" ht="120" customHeight="1" x14ac:dyDescent="0.2">
      <c r="A7" s="31" t="s">
        <v>199</v>
      </c>
      <c r="B7" s="31" t="s">
        <v>376</v>
      </c>
      <c r="C7" s="31" t="s">
        <v>393</v>
      </c>
      <c r="D7" s="31" t="s">
        <v>116</v>
      </c>
      <c r="E7" s="31" t="s">
        <v>394</v>
      </c>
      <c r="F7" s="31" t="s">
        <v>395</v>
      </c>
      <c r="G7" s="31" t="s">
        <v>396</v>
      </c>
      <c r="H7" s="31" t="s">
        <v>195</v>
      </c>
      <c r="I7" s="31" t="s">
        <v>382</v>
      </c>
    </row>
    <row r="8" spans="1:9" ht="120" customHeight="1" x14ac:dyDescent="0.2">
      <c r="A8" s="34" t="s">
        <v>216</v>
      </c>
      <c r="B8" s="34" t="s">
        <v>376</v>
      </c>
      <c r="C8" s="34" t="s">
        <v>397</v>
      </c>
      <c r="D8" s="34" t="s">
        <v>116</v>
      </c>
      <c r="E8" s="34" t="s">
        <v>398</v>
      </c>
      <c r="F8" s="34" t="s">
        <v>399</v>
      </c>
      <c r="G8" s="34" t="s">
        <v>400</v>
      </c>
      <c r="H8" s="34" t="s">
        <v>212</v>
      </c>
      <c r="I8" s="34" t="s">
        <v>401</v>
      </c>
    </row>
    <row r="9" spans="1:9" ht="120" customHeight="1" x14ac:dyDescent="0.2">
      <c r="A9" s="31" t="s">
        <v>234</v>
      </c>
      <c r="B9" s="31" t="s">
        <v>376</v>
      </c>
      <c r="C9" s="31" t="s">
        <v>230</v>
      </c>
      <c r="D9" s="31" t="s">
        <v>116</v>
      </c>
      <c r="E9" s="31" t="s">
        <v>402</v>
      </c>
      <c r="F9" s="31" t="s">
        <v>403</v>
      </c>
      <c r="G9" s="31" t="s">
        <v>404</v>
      </c>
      <c r="H9" s="31" t="s">
        <v>405</v>
      </c>
      <c r="I9" s="31" t="s">
        <v>406</v>
      </c>
    </row>
    <row r="10" spans="1:9" ht="120" customHeight="1" x14ac:dyDescent="0.2">
      <c r="A10" s="34" t="s">
        <v>407</v>
      </c>
      <c r="B10" s="34" t="s">
        <v>376</v>
      </c>
      <c r="C10" s="34" t="s">
        <v>408</v>
      </c>
      <c r="D10" s="34" t="s">
        <v>116</v>
      </c>
      <c r="E10" s="34" t="s">
        <v>409</v>
      </c>
      <c r="F10" s="34" t="s">
        <v>410</v>
      </c>
      <c r="G10" s="34" t="s">
        <v>411</v>
      </c>
      <c r="H10" s="34" t="s">
        <v>295</v>
      </c>
      <c r="I10" s="34" t="s">
        <v>412</v>
      </c>
    </row>
    <row r="11" spans="1:9" ht="120" customHeight="1" x14ac:dyDescent="0.2">
      <c r="A11" s="31" t="s">
        <v>318</v>
      </c>
      <c r="B11" s="31" t="s">
        <v>376</v>
      </c>
      <c r="C11" s="31" t="s">
        <v>230</v>
      </c>
      <c r="D11" s="31" t="s">
        <v>116</v>
      </c>
      <c r="E11" s="31" t="s">
        <v>413</v>
      </c>
      <c r="F11" s="31" t="s">
        <v>414</v>
      </c>
      <c r="G11" s="31" t="s">
        <v>415</v>
      </c>
      <c r="H11" s="31" t="s">
        <v>312</v>
      </c>
      <c r="I11" s="31" t="s">
        <v>416</v>
      </c>
    </row>
    <row r="12" spans="1:9" ht="120" customHeight="1" x14ac:dyDescent="0.2">
      <c r="A12" s="34" t="s">
        <v>337</v>
      </c>
      <c r="B12" s="34" t="s">
        <v>376</v>
      </c>
      <c r="C12" s="34" t="s">
        <v>417</v>
      </c>
      <c r="D12" s="34" t="s">
        <v>116</v>
      </c>
      <c r="E12" s="34" t="s">
        <v>418</v>
      </c>
      <c r="F12" s="34" t="s">
        <v>419</v>
      </c>
      <c r="G12" s="34" t="s">
        <v>420</v>
      </c>
      <c r="H12" s="34" t="s">
        <v>331</v>
      </c>
      <c r="I12" s="34" t="s">
        <v>421</v>
      </c>
    </row>
    <row r="13" spans="1:9" ht="120" customHeight="1" x14ac:dyDescent="0.2">
      <c r="A13" s="31" t="s">
        <v>422</v>
      </c>
      <c r="B13" s="31" t="s">
        <v>376</v>
      </c>
      <c r="C13" s="31" t="s">
        <v>417</v>
      </c>
      <c r="D13" s="31" t="s">
        <v>116</v>
      </c>
      <c r="E13" s="31" t="s">
        <v>423</v>
      </c>
      <c r="F13" s="31" t="s">
        <v>424</v>
      </c>
      <c r="G13" s="31" t="s">
        <v>425</v>
      </c>
      <c r="H13" s="31" t="s">
        <v>331</v>
      </c>
      <c r="I13" s="31" t="s">
        <v>426</v>
      </c>
    </row>
    <row r="14" spans="1:9" ht="120" customHeight="1" x14ac:dyDescent="0.2">
      <c r="A14" s="34" t="s">
        <v>427</v>
      </c>
      <c r="B14" s="34" t="s">
        <v>376</v>
      </c>
      <c r="C14" s="34" t="s">
        <v>230</v>
      </c>
      <c r="D14" s="34" t="s">
        <v>116</v>
      </c>
      <c r="E14" s="34" t="s">
        <v>428</v>
      </c>
      <c r="F14" s="34" t="s">
        <v>429</v>
      </c>
      <c r="G14" s="34" t="s">
        <v>430</v>
      </c>
      <c r="H14" s="34" t="s">
        <v>431</v>
      </c>
      <c r="I14" s="34" t="s">
        <v>432</v>
      </c>
    </row>
    <row r="15" spans="1:9" ht="120" customHeight="1" x14ac:dyDescent="0.2">
      <c r="A15" s="31" t="s">
        <v>165</v>
      </c>
      <c r="B15" s="31" t="s">
        <v>383</v>
      </c>
      <c r="C15" s="31" t="s">
        <v>386</v>
      </c>
      <c r="D15" s="31" t="s">
        <v>116</v>
      </c>
      <c r="E15" s="31" t="s">
        <v>433</v>
      </c>
      <c r="F15" s="31" t="s">
        <v>434</v>
      </c>
      <c r="G15" s="31" t="s">
        <v>435</v>
      </c>
      <c r="H15" s="31" t="s">
        <v>436</v>
      </c>
      <c r="I15" s="31" t="s">
        <v>382</v>
      </c>
    </row>
    <row r="16" spans="1:9" ht="120" customHeight="1" x14ac:dyDescent="0.2">
      <c r="A16" s="34" t="s">
        <v>200</v>
      </c>
      <c r="B16" s="34" t="s">
        <v>383</v>
      </c>
      <c r="C16" s="34" t="s">
        <v>393</v>
      </c>
      <c r="D16" s="34" t="s">
        <v>116</v>
      </c>
      <c r="E16" s="34" t="s">
        <v>437</v>
      </c>
      <c r="F16" s="34" t="s">
        <v>438</v>
      </c>
      <c r="G16" s="34" t="s">
        <v>439</v>
      </c>
      <c r="H16" s="34" t="s">
        <v>440</v>
      </c>
      <c r="I16" s="34" t="s">
        <v>382</v>
      </c>
    </row>
    <row r="17" spans="1:9" ht="120" customHeight="1" x14ac:dyDescent="0.2">
      <c r="A17" s="31" t="s">
        <v>441</v>
      </c>
      <c r="B17" s="31" t="s">
        <v>383</v>
      </c>
      <c r="C17" s="31" t="s">
        <v>397</v>
      </c>
      <c r="D17" s="31" t="s">
        <v>116</v>
      </c>
      <c r="E17" s="31" t="s">
        <v>442</v>
      </c>
      <c r="F17" s="31" t="s">
        <v>443</v>
      </c>
      <c r="G17" s="31" t="s">
        <v>444</v>
      </c>
      <c r="H17" s="31" t="s">
        <v>445</v>
      </c>
      <c r="I17" s="31" t="s">
        <v>382</v>
      </c>
    </row>
    <row r="18" spans="1:9" ht="120" customHeight="1" x14ac:dyDescent="0.2">
      <c r="A18" s="34" t="s">
        <v>235</v>
      </c>
      <c r="B18" s="34" t="s">
        <v>383</v>
      </c>
      <c r="C18" s="34" t="s">
        <v>230</v>
      </c>
      <c r="D18" s="34" t="s">
        <v>116</v>
      </c>
      <c r="E18" s="34" t="s">
        <v>446</v>
      </c>
      <c r="F18" s="34" t="s">
        <v>447</v>
      </c>
      <c r="G18" s="34" t="s">
        <v>448</v>
      </c>
      <c r="H18" s="34" t="s">
        <v>405</v>
      </c>
      <c r="I18" s="34" t="s">
        <v>406</v>
      </c>
    </row>
    <row r="19" spans="1:9" ht="120" customHeight="1" x14ac:dyDescent="0.2">
      <c r="A19" s="31" t="s">
        <v>300</v>
      </c>
      <c r="B19" s="31" t="s">
        <v>383</v>
      </c>
      <c r="C19" s="31" t="s">
        <v>408</v>
      </c>
      <c r="D19" s="31" t="s">
        <v>116</v>
      </c>
      <c r="E19" s="31" t="s">
        <v>449</v>
      </c>
      <c r="F19" s="31" t="s">
        <v>450</v>
      </c>
      <c r="G19" s="31" t="s">
        <v>451</v>
      </c>
      <c r="H19" s="31" t="s">
        <v>295</v>
      </c>
      <c r="I19" s="31" t="s">
        <v>452</v>
      </c>
    </row>
    <row r="20" spans="1:9" ht="120" customHeight="1" x14ac:dyDescent="0.2">
      <c r="A20" s="34" t="s">
        <v>319</v>
      </c>
      <c r="B20" s="34" t="s">
        <v>383</v>
      </c>
      <c r="C20" s="34" t="s">
        <v>230</v>
      </c>
      <c r="D20" s="34" t="s">
        <v>116</v>
      </c>
      <c r="E20" s="34" t="s">
        <v>453</v>
      </c>
      <c r="F20" s="34" t="s">
        <v>454</v>
      </c>
      <c r="G20" s="34" t="s">
        <v>455</v>
      </c>
      <c r="H20" s="34" t="s">
        <v>312</v>
      </c>
      <c r="I20" s="34" t="s">
        <v>456</v>
      </c>
    </row>
    <row r="21" spans="1:9" ht="120" customHeight="1" x14ac:dyDescent="0.2">
      <c r="A21" s="31" t="s">
        <v>338</v>
      </c>
      <c r="B21" s="31" t="s">
        <v>383</v>
      </c>
      <c r="C21" s="31" t="s">
        <v>417</v>
      </c>
      <c r="D21" s="31" t="s">
        <v>116</v>
      </c>
      <c r="E21" s="31" t="s">
        <v>457</v>
      </c>
      <c r="F21" s="31" t="s">
        <v>458</v>
      </c>
      <c r="G21" s="31" t="s">
        <v>459</v>
      </c>
      <c r="H21" s="31" t="s">
        <v>331</v>
      </c>
      <c r="I21" s="31" t="s">
        <v>421</v>
      </c>
    </row>
    <row r="22" spans="1:9" ht="19.5" customHeight="1" x14ac:dyDescent="0.2">
      <c r="A22" s="39"/>
      <c r="B22" s="39"/>
      <c r="C22" s="39"/>
      <c r="D22" s="39"/>
      <c r="E22" s="39"/>
      <c r="F22" s="39"/>
      <c r="G22" s="39"/>
      <c r="H22" s="39"/>
      <c r="I22" s="39"/>
    </row>
    <row r="23" spans="1:9" ht="19.5" customHeight="1" x14ac:dyDescent="0.2">
      <c r="A23" s="40"/>
      <c r="B23" s="40"/>
      <c r="C23" s="40"/>
      <c r="D23" s="40"/>
      <c r="E23" s="40"/>
      <c r="F23" s="40"/>
      <c r="G23" s="40"/>
      <c r="H23" s="40"/>
      <c r="I23" s="40"/>
    </row>
    <row r="24" spans="1:9" ht="19.5" customHeight="1" x14ac:dyDescent="0.2">
      <c r="A24" s="39"/>
      <c r="B24" s="39"/>
      <c r="C24" s="39"/>
      <c r="D24" s="39"/>
      <c r="E24" s="39"/>
      <c r="F24" s="39"/>
      <c r="G24" s="39"/>
      <c r="H24" s="39"/>
      <c r="I24" s="39"/>
    </row>
    <row r="25" spans="1:9" ht="19.5" customHeight="1" x14ac:dyDescent="0.2">
      <c r="A25" s="40"/>
      <c r="B25" s="40"/>
      <c r="C25" s="40"/>
      <c r="D25" s="40"/>
      <c r="E25" s="40"/>
      <c r="F25" s="40"/>
      <c r="G25" s="40"/>
      <c r="H25" s="40"/>
      <c r="I25" s="40"/>
    </row>
    <row r="26" spans="1:9" ht="19.5" customHeight="1" x14ac:dyDescent="0.2">
      <c r="A26" s="39"/>
      <c r="B26" s="39"/>
      <c r="C26" s="39"/>
      <c r="D26" s="39"/>
      <c r="E26" s="39"/>
      <c r="F26" s="39"/>
      <c r="G26" s="39"/>
      <c r="H26" s="39"/>
      <c r="I26" s="39"/>
    </row>
    <row r="27" spans="1:9" ht="19.5" customHeight="1" x14ac:dyDescent="0.2">
      <c r="A27" s="40"/>
      <c r="B27" s="40"/>
      <c r="C27" s="40"/>
      <c r="D27" s="40"/>
      <c r="E27" s="40"/>
      <c r="F27" s="40"/>
      <c r="G27" s="40"/>
      <c r="H27" s="40"/>
      <c r="I27" s="40"/>
    </row>
    <row r="28" spans="1:9" ht="19.5" customHeight="1" x14ac:dyDescent="0.2">
      <c r="A28" s="39"/>
      <c r="B28" s="39"/>
      <c r="C28" s="39"/>
      <c r="D28" s="39"/>
      <c r="E28" s="39"/>
      <c r="F28" s="39"/>
      <c r="G28" s="39"/>
      <c r="H28" s="39"/>
      <c r="I28" s="39"/>
    </row>
    <row r="29" spans="1:9" ht="19.5" customHeight="1" x14ac:dyDescent="0.2">
      <c r="A29" s="40"/>
      <c r="B29" s="40"/>
      <c r="C29" s="40"/>
      <c r="D29" s="40"/>
      <c r="E29" s="40"/>
      <c r="F29" s="40"/>
      <c r="G29" s="40"/>
      <c r="H29" s="40"/>
      <c r="I29" s="40"/>
    </row>
    <row r="30" spans="1:9" ht="19.5" customHeight="1" x14ac:dyDescent="0.2">
      <c r="A30" s="39"/>
      <c r="B30" s="39"/>
      <c r="C30" s="39"/>
      <c r="D30" s="39"/>
      <c r="E30" s="39"/>
      <c r="F30" s="39"/>
      <c r="G30" s="39"/>
      <c r="H30" s="39"/>
      <c r="I30" s="39"/>
    </row>
    <row r="31" spans="1:9" ht="19.5" customHeight="1" x14ac:dyDescent="0.2">
      <c r="A31" s="40"/>
      <c r="B31" s="40"/>
      <c r="C31" s="40"/>
      <c r="D31" s="40"/>
      <c r="E31" s="40"/>
      <c r="F31" s="40"/>
      <c r="G31" s="40"/>
      <c r="H31" s="40"/>
      <c r="I31" s="40"/>
    </row>
    <row r="32" spans="1:9" ht="19.5" customHeight="1" x14ac:dyDescent="0.2">
      <c r="A32" s="39"/>
      <c r="B32" s="39"/>
      <c r="C32" s="39"/>
      <c r="D32" s="39"/>
      <c r="E32" s="39"/>
      <c r="F32" s="39"/>
      <c r="G32" s="39"/>
      <c r="H32" s="39"/>
      <c r="I32" s="39"/>
    </row>
    <row r="33" spans="1:9" ht="19.5" customHeight="1" x14ac:dyDescent="0.2">
      <c r="A33" s="40"/>
      <c r="B33" s="40"/>
      <c r="C33" s="40"/>
      <c r="D33" s="40"/>
      <c r="E33" s="40"/>
      <c r="F33" s="40"/>
      <c r="G33" s="40"/>
      <c r="H33" s="40"/>
      <c r="I33" s="40"/>
    </row>
    <row r="34" spans="1:9" ht="19.5" customHeight="1" x14ac:dyDescent="0.2">
      <c r="A34" s="39"/>
      <c r="B34" s="39"/>
      <c r="C34" s="39"/>
      <c r="D34" s="39"/>
      <c r="E34" s="39"/>
      <c r="F34" s="39"/>
      <c r="G34" s="39"/>
      <c r="H34" s="39"/>
      <c r="I34" s="39"/>
    </row>
    <row r="35" spans="1:9" ht="19.5" customHeight="1" x14ac:dyDescent="0.2">
      <c r="A35" s="40"/>
      <c r="B35" s="40"/>
      <c r="C35" s="40"/>
      <c r="D35" s="40"/>
      <c r="E35" s="40"/>
      <c r="F35" s="40"/>
      <c r="G35" s="40"/>
      <c r="H35" s="40"/>
      <c r="I35" s="40"/>
    </row>
    <row r="36" spans="1:9" ht="19.5" customHeight="1" x14ac:dyDescent="0.2">
      <c r="A36" s="39"/>
      <c r="B36" s="39"/>
      <c r="C36" s="39"/>
      <c r="D36" s="39"/>
      <c r="E36" s="39"/>
      <c r="F36" s="39"/>
      <c r="G36" s="39"/>
      <c r="H36" s="39"/>
      <c r="I36" s="39"/>
    </row>
    <row r="37" spans="1:9" ht="19.5" customHeight="1" x14ac:dyDescent="0.2">
      <c r="A37" s="40"/>
      <c r="B37" s="40"/>
      <c r="C37" s="40"/>
      <c r="D37" s="40"/>
      <c r="E37" s="40"/>
      <c r="F37" s="40"/>
      <c r="G37" s="40"/>
      <c r="H37" s="40"/>
      <c r="I37" s="40"/>
    </row>
    <row r="38" spans="1:9" ht="19.5" customHeight="1" x14ac:dyDescent="0.2">
      <c r="A38" s="39"/>
      <c r="B38" s="39"/>
      <c r="C38" s="39"/>
      <c r="D38" s="39"/>
      <c r="E38" s="39"/>
      <c r="F38" s="39"/>
      <c r="G38" s="39"/>
      <c r="H38" s="39"/>
      <c r="I38" s="39"/>
    </row>
    <row r="39" spans="1:9" ht="19.5" customHeight="1" x14ac:dyDescent="0.2">
      <c r="A39" s="40"/>
      <c r="B39" s="40"/>
      <c r="C39" s="40"/>
      <c r="D39" s="40"/>
      <c r="E39" s="40"/>
      <c r="F39" s="40"/>
      <c r="G39" s="40"/>
      <c r="H39" s="40"/>
      <c r="I39" s="40"/>
    </row>
    <row r="40" spans="1:9" ht="19.5" customHeight="1" x14ac:dyDescent="0.2">
      <c r="A40" s="39"/>
      <c r="B40" s="39"/>
      <c r="C40" s="39"/>
      <c r="D40" s="39"/>
      <c r="E40" s="39"/>
      <c r="F40" s="39"/>
      <c r="G40" s="39"/>
      <c r="H40" s="39"/>
      <c r="I40" s="39"/>
    </row>
    <row r="41" spans="1:9" ht="19.5" customHeight="1" x14ac:dyDescent="0.2">
      <c r="A41" s="40"/>
      <c r="B41" s="40"/>
      <c r="C41" s="40"/>
      <c r="D41" s="40"/>
      <c r="E41" s="40"/>
      <c r="F41" s="40"/>
      <c r="G41" s="40"/>
      <c r="H41" s="40"/>
      <c r="I41" s="40"/>
    </row>
    <row r="42" spans="1:9" ht="19.5" customHeight="1" x14ac:dyDescent="0.2">
      <c r="A42" s="39"/>
      <c r="B42" s="39"/>
      <c r="C42" s="39"/>
      <c r="D42" s="39"/>
      <c r="E42" s="39"/>
      <c r="F42" s="39"/>
      <c r="G42" s="39"/>
      <c r="H42" s="39"/>
      <c r="I42" s="39"/>
    </row>
    <row r="43" spans="1:9" ht="19.5" customHeight="1" x14ac:dyDescent="0.2">
      <c r="A43" s="40"/>
      <c r="B43" s="40"/>
      <c r="C43" s="40"/>
      <c r="D43" s="40"/>
      <c r="E43" s="40"/>
      <c r="F43" s="40"/>
      <c r="G43" s="40"/>
      <c r="H43" s="40"/>
      <c r="I43" s="40"/>
    </row>
    <row r="44" spans="1:9" ht="19.5" customHeight="1" x14ac:dyDescent="0.2">
      <c r="A44" s="39"/>
      <c r="B44" s="39"/>
      <c r="C44" s="39"/>
      <c r="D44" s="39"/>
      <c r="E44" s="39"/>
      <c r="F44" s="39"/>
      <c r="G44" s="39"/>
      <c r="H44" s="39"/>
      <c r="I44" s="39"/>
    </row>
    <row r="45" spans="1:9" ht="19.5" customHeight="1" x14ac:dyDescent="0.2">
      <c r="A45" s="40"/>
      <c r="B45" s="40"/>
      <c r="C45" s="40"/>
      <c r="D45" s="40"/>
      <c r="E45" s="40"/>
      <c r="F45" s="40"/>
      <c r="G45" s="40"/>
      <c r="H45" s="40"/>
      <c r="I45" s="40"/>
    </row>
    <row r="46" spans="1:9" ht="19.5" customHeight="1" x14ac:dyDescent="0.2">
      <c r="A46" s="39"/>
      <c r="B46" s="39"/>
      <c r="C46" s="39"/>
      <c r="D46" s="39"/>
      <c r="E46" s="39"/>
      <c r="F46" s="39"/>
      <c r="G46" s="39"/>
      <c r="H46" s="39"/>
      <c r="I46" s="39"/>
    </row>
    <row r="47" spans="1:9" ht="19.5" customHeight="1" x14ac:dyDescent="0.2">
      <c r="A47" s="40"/>
      <c r="B47" s="40"/>
      <c r="C47" s="40"/>
      <c r="D47" s="40"/>
      <c r="E47" s="40"/>
      <c r="F47" s="40"/>
      <c r="G47" s="40"/>
      <c r="H47" s="40"/>
      <c r="I47" s="40"/>
    </row>
    <row r="48" spans="1:9" ht="19.5" customHeight="1" x14ac:dyDescent="0.2">
      <c r="A48" s="39"/>
      <c r="B48" s="39"/>
      <c r="C48" s="39"/>
      <c r="D48" s="39"/>
      <c r="E48" s="39"/>
      <c r="F48" s="39"/>
      <c r="G48" s="39"/>
      <c r="H48" s="39"/>
      <c r="I48" s="39"/>
    </row>
    <row r="49" spans="1:9" ht="19.5" customHeight="1" x14ac:dyDescent="0.2">
      <c r="A49" s="40"/>
      <c r="B49" s="40"/>
      <c r="C49" s="40"/>
      <c r="D49" s="40"/>
      <c r="E49" s="40"/>
      <c r="F49" s="40"/>
      <c r="G49" s="40"/>
      <c r="H49" s="40"/>
      <c r="I49" s="40"/>
    </row>
    <row r="50" spans="1:9" ht="19.5" customHeight="1" x14ac:dyDescent="0.2">
      <c r="A50" s="39"/>
      <c r="B50" s="39"/>
      <c r="C50" s="39"/>
      <c r="D50" s="39"/>
      <c r="E50" s="39"/>
      <c r="F50" s="39"/>
      <c r="G50" s="39"/>
      <c r="H50" s="39"/>
      <c r="I50" s="39"/>
    </row>
    <row r="51" spans="1:9" ht="19.5" customHeight="1" x14ac:dyDescent="0.2">
      <c r="A51" s="40"/>
      <c r="B51" s="40"/>
      <c r="C51" s="40"/>
      <c r="D51" s="40"/>
      <c r="E51" s="40"/>
      <c r="F51" s="40"/>
      <c r="G51" s="40"/>
      <c r="H51" s="40"/>
      <c r="I51" s="40"/>
    </row>
    <row r="52" spans="1:9" ht="19.5" customHeight="1" x14ac:dyDescent="0.2">
      <c r="A52" s="39"/>
      <c r="B52" s="39"/>
      <c r="C52" s="39"/>
      <c r="D52" s="39"/>
      <c r="E52" s="39"/>
      <c r="F52" s="39"/>
      <c r="G52" s="39"/>
      <c r="H52" s="39"/>
      <c r="I52" s="39"/>
    </row>
    <row r="53" spans="1:9" ht="19.5" customHeight="1" x14ac:dyDescent="0.2">
      <c r="A53" s="40"/>
      <c r="B53" s="40"/>
      <c r="C53" s="40"/>
      <c r="D53" s="40"/>
      <c r="E53" s="40"/>
      <c r="F53" s="40"/>
      <c r="G53" s="40"/>
      <c r="H53" s="40"/>
      <c r="I53" s="40"/>
    </row>
    <row r="54" spans="1:9" ht="19.5" customHeight="1" x14ac:dyDescent="0.2">
      <c r="A54" s="39"/>
      <c r="B54" s="39"/>
      <c r="C54" s="39"/>
      <c r="D54" s="39"/>
      <c r="E54" s="39"/>
      <c r="F54" s="39"/>
      <c r="G54" s="39"/>
      <c r="H54" s="39"/>
      <c r="I54" s="39"/>
    </row>
    <row r="55" spans="1:9" ht="19.5" customHeight="1" x14ac:dyDescent="0.2">
      <c r="A55" s="40"/>
      <c r="B55" s="40"/>
      <c r="C55" s="40"/>
      <c r="D55" s="40"/>
      <c r="E55" s="40"/>
      <c r="F55" s="40"/>
      <c r="G55" s="40"/>
      <c r="H55" s="40"/>
      <c r="I55" s="40"/>
    </row>
    <row r="56" spans="1:9" ht="19.5" customHeight="1" x14ac:dyDescent="0.2">
      <c r="A56" s="39"/>
      <c r="B56" s="39"/>
      <c r="C56" s="39"/>
      <c r="D56" s="39"/>
      <c r="E56" s="39"/>
      <c r="F56" s="39"/>
      <c r="G56" s="39"/>
      <c r="H56" s="39"/>
      <c r="I56" s="39"/>
    </row>
    <row r="57" spans="1:9" ht="19.5" customHeight="1" x14ac:dyDescent="0.2">
      <c r="A57" s="40"/>
      <c r="B57" s="40"/>
      <c r="C57" s="40"/>
      <c r="D57" s="40"/>
      <c r="E57" s="40"/>
      <c r="F57" s="40"/>
      <c r="G57" s="40"/>
      <c r="H57" s="40"/>
      <c r="I57" s="40"/>
    </row>
    <row r="58" spans="1:9" ht="19.5" customHeight="1" x14ac:dyDescent="0.2">
      <c r="A58" s="39"/>
      <c r="B58" s="39"/>
      <c r="C58" s="39"/>
      <c r="D58" s="39"/>
      <c r="E58" s="39"/>
      <c r="F58" s="39"/>
      <c r="G58" s="39"/>
      <c r="H58" s="39"/>
      <c r="I58" s="39"/>
    </row>
    <row r="59" spans="1:9" ht="19.5" customHeight="1" x14ac:dyDescent="0.2">
      <c r="A59" s="40"/>
      <c r="B59" s="40"/>
      <c r="C59" s="40"/>
      <c r="D59" s="40"/>
      <c r="E59" s="40"/>
      <c r="F59" s="40"/>
      <c r="G59" s="40"/>
      <c r="H59" s="40"/>
      <c r="I59" s="40"/>
    </row>
    <row r="60" spans="1:9" ht="19.5" customHeight="1" x14ac:dyDescent="0.2">
      <c r="A60" s="39"/>
      <c r="B60" s="39"/>
      <c r="C60" s="39"/>
      <c r="D60" s="39"/>
      <c r="E60" s="39"/>
      <c r="F60" s="39"/>
      <c r="G60" s="39"/>
      <c r="H60" s="39"/>
      <c r="I60" s="39"/>
    </row>
    <row r="61" spans="1:9" ht="19.5" customHeight="1" x14ac:dyDescent="0.2">
      <c r="A61" s="40"/>
      <c r="B61" s="40"/>
      <c r="C61" s="40"/>
      <c r="D61" s="40"/>
      <c r="E61" s="40"/>
      <c r="F61" s="40"/>
      <c r="G61" s="40"/>
      <c r="H61" s="40"/>
      <c r="I61" s="40"/>
    </row>
    <row r="62" spans="1:9" ht="19.5" customHeight="1" x14ac:dyDescent="0.2">
      <c r="A62" s="39"/>
      <c r="B62" s="39"/>
      <c r="C62" s="39"/>
      <c r="D62" s="39"/>
      <c r="E62" s="39"/>
      <c r="F62" s="39"/>
      <c r="G62" s="39"/>
      <c r="H62" s="39"/>
      <c r="I62" s="39"/>
    </row>
    <row r="63" spans="1:9" ht="19.5" customHeight="1" x14ac:dyDescent="0.2">
      <c r="A63" s="40"/>
      <c r="B63" s="40"/>
      <c r="C63" s="40"/>
      <c r="D63" s="40"/>
      <c r="E63" s="40"/>
      <c r="F63" s="40"/>
      <c r="G63" s="40"/>
      <c r="H63" s="40"/>
      <c r="I63" s="40"/>
    </row>
    <row r="64" spans="1:9" ht="19.5" customHeight="1" x14ac:dyDescent="0.2">
      <c r="A64" s="39"/>
      <c r="B64" s="39"/>
      <c r="C64" s="39"/>
      <c r="D64" s="39"/>
      <c r="E64" s="39"/>
      <c r="F64" s="39"/>
      <c r="G64" s="39"/>
      <c r="H64" s="39"/>
      <c r="I64" s="39"/>
    </row>
    <row r="65" spans="1:9" ht="19.5" customHeight="1" x14ac:dyDescent="0.2">
      <c r="A65" s="40"/>
      <c r="B65" s="40"/>
      <c r="C65" s="40"/>
      <c r="D65" s="40"/>
      <c r="E65" s="40"/>
      <c r="F65" s="40"/>
      <c r="G65" s="40"/>
      <c r="H65" s="40"/>
      <c r="I65" s="40"/>
    </row>
    <row r="66" spans="1:9" ht="19.5" customHeight="1" x14ac:dyDescent="0.2">
      <c r="A66" s="39"/>
      <c r="B66" s="39"/>
      <c r="C66" s="39"/>
      <c r="D66" s="39"/>
      <c r="E66" s="39"/>
      <c r="F66" s="39"/>
      <c r="G66" s="39"/>
      <c r="H66" s="39"/>
      <c r="I66" s="39"/>
    </row>
    <row r="67" spans="1:9" ht="19.5" customHeight="1" x14ac:dyDescent="0.2">
      <c r="A67" s="40"/>
      <c r="B67" s="40"/>
      <c r="C67" s="40"/>
      <c r="D67" s="40"/>
      <c r="E67" s="40"/>
      <c r="F67" s="40"/>
      <c r="G67" s="40"/>
      <c r="H67" s="40"/>
      <c r="I67" s="40"/>
    </row>
    <row r="68" spans="1:9" ht="19.5" customHeight="1" x14ac:dyDescent="0.2">
      <c r="A68" s="39"/>
      <c r="B68" s="39"/>
      <c r="C68" s="39"/>
      <c r="D68" s="39"/>
      <c r="E68" s="39"/>
      <c r="F68" s="39"/>
      <c r="G68" s="39"/>
      <c r="H68" s="39"/>
      <c r="I68" s="39"/>
    </row>
    <row r="69" spans="1:9" ht="19.5" customHeight="1" x14ac:dyDescent="0.2">
      <c r="A69" s="40"/>
      <c r="B69" s="40"/>
      <c r="C69" s="40"/>
      <c r="D69" s="40"/>
      <c r="E69" s="40"/>
      <c r="F69" s="40"/>
      <c r="G69" s="40"/>
      <c r="H69" s="40"/>
      <c r="I69" s="40"/>
    </row>
    <row r="70" spans="1:9" ht="19.5" customHeight="1" x14ac:dyDescent="0.2">
      <c r="A70" s="39"/>
      <c r="B70" s="39"/>
      <c r="C70" s="39"/>
      <c r="D70" s="39"/>
      <c r="E70" s="39"/>
      <c r="F70" s="39"/>
      <c r="G70" s="39"/>
      <c r="H70" s="39"/>
      <c r="I70" s="39"/>
    </row>
    <row r="71" spans="1:9" ht="19.5" customHeight="1" x14ac:dyDescent="0.2">
      <c r="A71" s="40"/>
      <c r="B71" s="40"/>
      <c r="C71" s="40"/>
      <c r="D71" s="40"/>
      <c r="E71" s="40"/>
      <c r="F71" s="40"/>
      <c r="G71" s="40"/>
      <c r="H71" s="40"/>
      <c r="I71" s="40"/>
    </row>
    <row r="72" spans="1:9" ht="19.5" customHeight="1" x14ac:dyDescent="0.2">
      <c r="A72" s="39"/>
      <c r="B72" s="39"/>
      <c r="C72" s="39"/>
      <c r="D72" s="39"/>
      <c r="E72" s="39"/>
      <c r="F72" s="39"/>
      <c r="G72" s="39"/>
      <c r="H72" s="39"/>
      <c r="I72" s="39"/>
    </row>
    <row r="73" spans="1:9" ht="19.5" customHeight="1" x14ac:dyDescent="0.2">
      <c r="A73" s="40"/>
      <c r="B73" s="40"/>
      <c r="C73" s="40"/>
      <c r="D73" s="40"/>
      <c r="E73" s="40"/>
      <c r="F73" s="40"/>
      <c r="G73" s="40"/>
      <c r="H73" s="40"/>
      <c r="I73" s="40"/>
    </row>
    <row r="74" spans="1:9" ht="19.5" customHeight="1" x14ac:dyDescent="0.2">
      <c r="A74" s="39"/>
      <c r="B74" s="39"/>
      <c r="C74" s="39"/>
      <c r="D74" s="39"/>
      <c r="E74" s="39"/>
      <c r="F74" s="39"/>
      <c r="G74" s="39"/>
      <c r="H74" s="39"/>
      <c r="I74" s="39"/>
    </row>
    <row r="75" spans="1:9" ht="19.5" customHeight="1" x14ac:dyDescent="0.2">
      <c r="A75" s="40"/>
      <c r="B75" s="40"/>
      <c r="C75" s="40"/>
      <c r="D75" s="40"/>
      <c r="E75" s="40"/>
      <c r="F75" s="40"/>
      <c r="G75" s="40"/>
      <c r="H75" s="40"/>
      <c r="I75" s="40"/>
    </row>
    <row r="76" spans="1:9" ht="19.5" customHeight="1" x14ac:dyDescent="0.2">
      <c r="A76" s="39"/>
      <c r="B76" s="39"/>
      <c r="C76" s="39"/>
      <c r="D76" s="39"/>
      <c r="E76" s="39"/>
      <c r="F76" s="39"/>
      <c r="G76" s="39"/>
      <c r="H76" s="39"/>
      <c r="I76" s="39"/>
    </row>
    <row r="77" spans="1:9" ht="19.5" customHeight="1" x14ac:dyDescent="0.2">
      <c r="A77" s="40"/>
      <c r="B77" s="40"/>
      <c r="C77" s="40"/>
      <c r="D77" s="40"/>
      <c r="E77" s="40"/>
      <c r="F77" s="40"/>
      <c r="G77" s="40"/>
      <c r="H77" s="40"/>
      <c r="I77" s="40"/>
    </row>
    <row r="78" spans="1:9" ht="19.5" customHeight="1" x14ac:dyDescent="0.2">
      <c r="A78" s="39"/>
      <c r="B78" s="39"/>
      <c r="C78" s="39"/>
      <c r="D78" s="39"/>
      <c r="E78" s="39"/>
      <c r="F78" s="39"/>
      <c r="G78" s="39"/>
      <c r="H78" s="39"/>
      <c r="I78" s="39"/>
    </row>
    <row r="79" spans="1:9" ht="19.5" customHeight="1" x14ac:dyDescent="0.2">
      <c r="A79" s="40"/>
      <c r="B79" s="40"/>
      <c r="C79" s="40"/>
      <c r="D79" s="40"/>
      <c r="E79" s="40"/>
      <c r="F79" s="40"/>
      <c r="G79" s="40"/>
      <c r="H79" s="40"/>
      <c r="I79" s="40"/>
    </row>
    <row r="80" spans="1:9" ht="19.5" customHeight="1" x14ac:dyDescent="0.2">
      <c r="A80" s="39"/>
      <c r="B80" s="39"/>
      <c r="C80" s="39"/>
      <c r="D80" s="39"/>
      <c r="E80" s="39"/>
      <c r="F80" s="39"/>
      <c r="G80" s="39"/>
      <c r="H80" s="39"/>
      <c r="I80" s="39"/>
    </row>
    <row r="81" spans="1:9" ht="19.5" customHeight="1" x14ac:dyDescent="0.2">
      <c r="A81" s="40"/>
      <c r="B81" s="40"/>
      <c r="C81" s="40"/>
      <c r="D81" s="40"/>
      <c r="E81" s="40"/>
      <c r="F81" s="40"/>
      <c r="G81" s="40"/>
      <c r="H81" s="40"/>
      <c r="I81" s="40"/>
    </row>
    <row r="82" spans="1:9" ht="19.5" customHeight="1" x14ac:dyDescent="0.2">
      <c r="A82" s="39"/>
      <c r="B82" s="39"/>
      <c r="C82" s="39"/>
      <c r="D82" s="39"/>
      <c r="E82" s="39"/>
      <c r="F82" s="39"/>
      <c r="G82" s="39"/>
      <c r="H82" s="39"/>
      <c r="I82" s="39"/>
    </row>
    <row r="83" spans="1:9" ht="19.5" customHeight="1" x14ac:dyDescent="0.2">
      <c r="A83" s="40"/>
      <c r="B83" s="40"/>
      <c r="C83" s="40"/>
      <c r="D83" s="40"/>
      <c r="E83" s="40"/>
      <c r="F83" s="40"/>
      <c r="G83" s="40"/>
      <c r="H83" s="40"/>
      <c r="I83" s="40"/>
    </row>
    <row r="84" spans="1:9" ht="19.5" customHeight="1" x14ac:dyDescent="0.2">
      <c r="A84" s="39"/>
      <c r="B84" s="39"/>
      <c r="C84" s="39"/>
      <c r="D84" s="39"/>
      <c r="E84" s="39"/>
      <c r="F84" s="39"/>
      <c r="G84" s="39"/>
      <c r="H84" s="39"/>
      <c r="I84" s="39"/>
    </row>
    <row r="85" spans="1:9" ht="19.5" customHeight="1" x14ac:dyDescent="0.2">
      <c r="A85" s="40"/>
      <c r="B85" s="40"/>
      <c r="C85" s="40"/>
      <c r="D85" s="40"/>
      <c r="E85" s="40"/>
      <c r="F85" s="40"/>
      <c r="G85" s="40"/>
      <c r="H85" s="40"/>
      <c r="I85" s="40"/>
    </row>
    <row r="86" spans="1:9" ht="19.5" customHeight="1" x14ac:dyDescent="0.2">
      <c r="A86" s="39"/>
      <c r="B86" s="39"/>
      <c r="C86" s="39"/>
      <c r="D86" s="39"/>
      <c r="E86" s="39"/>
      <c r="F86" s="39"/>
      <c r="G86" s="39"/>
      <c r="H86" s="39"/>
      <c r="I86" s="39"/>
    </row>
    <row r="87" spans="1:9" ht="19.5" customHeight="1" x14ac:dyDescent="0.2">
      <c r="A87" s="40"/>
      <c r="B87" s="40"/>
      <c r="C87" s="40"/>
      <c r="D87" s="40"/>
      <c r="E87" s="40"/>
      <c r="F87" s="40"/>
      <c r="G87" s="40"/>
      <c r="H87" s="40"/>
      <c r="I87" s="40"/>
    </row>
    <row r="88" spans="1:9" ht="19.5" customHeight="1" x14ac:dyDescent="0.2">
      <c r="A88" s="39"/>
      <c r="B88" s="39"/>
      <c r="C88" s="39"/>
      <c r="D88" s="39"/>
      <c r="E88" s="39"/>
      <c r="F88" s="39"/>
      <c r="G88" s="39"/>
      <c r="H88" s="39"/>
      <c r="I88" s="39"/>
    </row>
    <row r="89" spans="1:9" ht="19.5" customHeight="1" x14ac:dyDescent="0.2">
      <c r="A89" s="40"/>
      <c r="B89" s="40"/>
      <c r="C89" s="40"/>
      <c r="D89" s="40"/>
      <c r="E89" s="40"/>
      <c r="F89" s="40"/>
      <c r="G89" s="40"/>
      <c r="H89" s="40"/>
      <c r="I89" s="40"/>
    </row>
    <row r="90" spans="1:9" ht="19.5" customHeight="1" x14ac:dyDescent="0.2">
      <c r="A90" s="39"/>
      <c r="B90" s="39"/>
      <c r="C90" s="39"/>
      <c r="D90" s="39"/>
      <c r="E90" s="39"/>
      <c r="F90" s="39"/>
      <c r="G90" s="39"/>
      <c r="H90" s="39"/>
      <c r="I90" s="39"/>
    </row>
    <row r="91" spans="1:9" ht="19.5" customHeight="1" x14ac:dyDescent="0.2">
      <c r="A91" s="40"/>
      <c r="B91" s="40"/>
      <c r="C91" s="40"/>
      <c r="D91" s="40"/>
      <c r="E91" s="40"/>
      <c r="F91" s="40"/>
      <c r="G91" s="40"/>
      <c r="H91" s="40"/>
      <c r="I91" s="40"/>
    </row>
    <row r="92" spans="1:9" ht="19.5" customHeight="1" x14ac:dyDescent="0.2">
      <c r="A92" s="39"/>
      <c r="B92" s="39"/>
      <c r="C92" s="39"/>
      <c r="D92" s="39"/>
      <c r="E92" s="39"/>
      <c r="F92" s="39"/>
      <c r="G92" s="39"/>
      <c r="H92" s="39"/>
      <c r="I92" s="39"/>
    </row>
    <row r="93" spans="1:9" ht="19.5" customHeight="1" x14ac:dyDescent="0.2">
      <c r="A93" s="40"/>
      <c r="B93" s="40"/>
      <c r="C93" s="40"/>
      <c r="D93" s="40"/>
      <c r="E93" s="40"/>
      <c r="F93" s="40"/>
      <c r="G93" s="40"/>
      <c r="H93" s="40"/>
      <c r="I93" s="40"/>
    </row>
    <row r="94" spans="1:9" ht="19.5" customHeight="1" x14ac:dyDescent="0.2">
      <c r="A94" s="39"/>
      <c r="B94" s="39"/>
      <c r="C94" s="39"/>
      <c r="D94" s="39"/>
      <c r="E94" s="39"/>
      <c r="F94" s="39"/>
      <c r="G94" s="39"/>
      <c r="H94" s="39"/>
      <c r="I94" s="39"/>
    </row>
    <row r="95" spans="1:9" ht="19.5" customHeight="1" x14ac:dyDescent="0.2">
      <c r="A95" s="40"/>
      <c r="B95" s="40"/>
      <c r="C95" s="40"/>
      <c r="D95" s="40"/>
      <c r="E95" s="40"/>
      <c r="F95" s="40"/>
      <c r="G95" s="40"/>
      <c r="H95" s="40"/>
      <c r="I95" s="40"/>
    </row>
    <row r="96" spans="1:9" ht="19.5" customHeight="1" x14ac:dyDescent="0.2">
      <c r="A96" s="39"/>
      <c r="B96" s="39"/>
      <c r="C96" s="39"/>
      <c r="D96" s="39"/>
      <c r="E96" s="39"/>
      <c r="F96" s="39"/>
      <c r="G96" s="39"/>
      <c r="H96" s="39"/>
      <c r="I96" s="39"/>
    </row>
    <row r="97" spans="1:9" ht="19.5" customHeight="1" x14ac:dyDescent="0.2">
      <c r="A97" s="40"/>
      <c r="B97" s="40"/>
      <c r="C97" s="40"/>
      <c r="D97" s="40"/>
      <c r="E97" s="40"/>
      <c r="F97" s="40"/>
      <c r="G97" s="40"/>
      <c r="H97" s="40"/>
      <c r="I97" s="40"/>
    </row>
    <row r="98" spans="1:9" ht="19.5" customHeight="1" x14ac:dyDescent="0.2">
      <c r="A98" s="39"/>
      <c r="B98" s="39"/>
      <c r="C98" s="39"/>
      <c r="D98" s="39"/>
      <c r="E98" s="39"/>
      <c r="F98" s="39"/>
      <c r="G98" s="39"/>
      <c r="H98" s="39"/>
      <c r="I98" s="39"/>
    </row>
    <row r="99" spans="1:9" ht="19.5" customHeight="1" x14ac:dyDescent="0.2">
      <c r="A99" s="40"/>
      <c r="B99" s="40"/>
      <c r="C99" s="40"/>
      <c r="D99" s="40"/>
      <c r="E99" s="40"/>
      <c r="F99" s="40"/>
      <c r="G99" s="40"/>
      <c r="H99" s="40"/>
      <c r="I99" s="40"/>
    </row>
    <row r="100" spans="1:9" ht="19.5" customHeight="1" x14ac:dyDescent="0.2">
      <c r="A100" s="39"/>
      <c r="B100" s="39"/>
      <c r="C100" s="39"/>
      <c r="D100" s="39"/>
      <c r="E100" s="39"/>
      <c r="F100" s="39"/>
      <c r="G100" s="39"/>
      <c r="H100" s="39"/>
      <c r="I100" s="39"/>
    </row>
    <row r="101" spans="1:9" ht="19.5" customHeight="1" x14ac:dyDescent="0.2">
      <c r="A101" s="40"/>
      <c r="B101" s="40"/>
      <c r="C101" s="40"/>
      <c r="D101" s="40"/>
      <c r="E101" s="40"/>
      <c r="F101" s="40"/>
      <c r="G101" s="40"/>
      <c r="H101" s="40"/>
      <c r="I101" s="40"/>
    </row>
    <row r="102" spans="1:9" ht="19.5" customHeight="1" x14ac:dyDescent="0.2">
      <c r="A102" s="39"/>
      <c r="B102" s="39"/>
      <c r="C102" s="39"/>
      <c r="D102" s="39"/>
      <c r="E102" s="39"/>
      <c r="F102" s="39"/>
      <c r="G102" s="39"/>
      <c r="H102" s="39"/>
      <c r="I102" s="39"/>
    </row>
  </sheetData>
  <mergeCells count="1">
    <mergeCell ref="A1:I1"/>
  </mergeCells>
  <dataValidations count="2">
    <dataValidation type="list" allowBlank="1" sqref="B3:B103" xr:uid="{00000000-0002-0000-0200-000000000000}">
      <formula1>"System Prompt,User Prompt"</formula1>
      <formula2>0</formula2>
    </dataValidation>
    <dataValidation type="list" allowBlank="1" sqref="I3:I103" xr:uid="{00000000-0002-0000-0200-000001000000}">
      <formula1>"Active,Retired,Draft"</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5"/>
  <sheetViews>
    <sheetView showGridLines="0" topLeftCell="C10" zoomScaleNormal="100" workbookViewId="0">
      <selection activeCell="A20" sqref="A20:J20"/>
    </sheetView>
  </sheetViews>
  <sheetFormatPr baseColWidth="10" defaultColWidth="8.6640625" defaultRowHeight="15" x14ac:dyDescent="0.2"/>
  <cols>
    <col min="1" max="1" width="22" customWidth="1"/>
    <col min="2" max="3" width="14" customWidth="1"/>
    <col min="4" max="4" width="16" customWidth="1"/>
    <col min="5" max="6" width="14" customWidth="1"/>
    <col min="7" max="8" width="16" customWidth="1"/>
    <col min="9" max="9" width="14" customWidth="1"/>
    <col min="10" max="10" width="30" customWidth="1"/>
  </cols>
  <sheetData>
    <row r="1" spans="1:10" ht="27.75" customHeight="1" x14ac:dyDescent="0.2">
      <c r="A1" s="1" t="s">
        <v>460</v>
      </c>
      <c r="B1" s="1"/>
      <c r="C1" s="1"/>
      <c r="D1" s="1"/>
      <c r="E1" s="1"/>
      <c r="F1" s="1"/>
      <c r="G1" s="1"/>
      <c r="H1" s="1"/>
      <c r="I1" s="1"/>
      <c r="J1" s="1"/>
    </row>
    <row r="2" spans="1:10" ht="18" customHeight="1" x14ac:dyDescent="0.2">
      <c r="A2" s="60" t="s">
        <v>461</v>
      </c>
      <c r="B2" s="60"/>
      <c r="C2" s="60"/>
      <c r="D2" s="60"/>
      <c r="E2" s="60"/>
      <c r="F2" s="60"/>
      <c r="G2" s="60"/>
      <c r="H2" s="60"/>
      <c r="I2" s="60"/>
      <c r="J2" s="60"/>
    </row>
    <row r="3" spans="1:10" ht="36" customHeight="1" x14ac:dyDescent="0.2">
      <c r="A3" s="20" t="s">
        <v>64</v>
      </c>
      <c r="B3" s="20" t="s">
        <v>462</v>
      </c>
      <c r="C3" s="20" t="s">
        <v>463</v>
      </c>
      <c r="D3" s="20" t="s">
        <v>464</v>
      </c>
      <c r="E3" s="20" t="s">
        <v>465</v>
      </c>
      <c r="F3" s="20" t="s">
        <v>466</v>
      </c>
      <c r="G3" s="20" t="s">
        <v>467</v>
      </c>
      <c r="H3" s="20" t="s">
        <v>468</v>
      </c>
      <c r="I3" s="20" t="s">
        <v>469</v>
      </c>
      <c r="J3" s="20" t="s">
        <v>470</v>
      </c>
    </row>
    <row r="4" spans="1:10" ht="19.5" customHeight="1" x14ac:dyDescent="0.2">
      <c r="A4" s="41" t="s">
        <v>471</v>
      </c>
      <c r="B4" s="41" t="s">
        <v>472</v>
      </c>
      <c r="C4" s="41" t="s">
        <v>120</v>
      </c>
      <c r="D4" s="41" t="s">
        <v>121</v>
      </c>
      <c r="E4" s="41" t="s">
        <v>473</v>
      </c>
      <c r="F4" s="41" t="s">
        <v>474</v>
      </c>
      <c r="G4" s="41" t="s">
        <v>475</v>
      </c>
      <c r="H4" s="41" t="s">
        <v>160</v>
      </c>
      <c r="I4" s="41" t="s">
        <v>138</v>
      </c>
      <c r="J4" s="41" t="s">
        <v>476</v>
      </c>
    </row>
    <row r="5" spans="1:10" ht="19.5" customHeight="1" x14ac:dyDescent="0.2">
      <c r="A5" s="41" t="s">
        <v>477</v>
      </c>
      <c r="B5" s="41" t="s">
        <v>472</v>
      </c>
      <c r="C5" s="41" t="s">
        <v>120</v>
      </c>
      <c r="D5" s="41" t="s">
        <v>121</v>
      </c>
      <c r="E5" s="41" t="s">
        <v>473</v>
      </c>
      <c r="F5" s="41" t="s">
        <v>478</v>
      </c>
      <c r="G5" s="41" t="s">
        <v>479</v>
      </c>
      <c r="H5" s="41" t="s">
        <v>160</v>
      </c>
      <c r="I5" s="41" t="s">
        <v>138</v>
      </c>
      <c r="J5" s="41" t="s">
        <v>480</v>
      </c>
    </row>
    <row r="6" spans="1:10" ht="19.5" customHeight="1" x14ac:dyDescent="0.2">
      <c r="A6" s="41" t="s">
        <v>481</v>
      </c>
      <c r="B6" s="41" t="s">
        <v>472</v>
      </c>
      <c r="C6" s="41" t="s">
        <v>120</v>
      </c>
      <c r="D6" s="41" t="s">
        <v>121</v>
      </c>
      <c r="E6" s="41" t="s">
        <v>482</v>
      </c>
      <c r="F6" s="41" t="s">
        <v>483</v>
      </c>
      <c r="G6" s="41" t="s">
        <v>484</v>
      </c>
      <c r="H6" s="41" t="s">
        <v>160</v>
      </c>
      <c r="I6" s="41" t="s">
        <v>138</v>
      </c>
      <c r="J6" s="41" t="s">
        <v>485</v>
      </c>
    </row>
    <row r="7" spans="1:10" ht="19.5" customHeight="1" x14ac:dyDescent="0.2">
      <c r="A7" s="42" t="s">
        <v>215</v>
      </c>
      <c r="B7" s="42" t="s">
        <v>122</v>
      </c>
      <c r="C7" s="42" t="s">
        <v>120</v>
      </c>
      <c r="D7" s="42" t="s">
        <v>121</v>
      </c>
      <c r="E7" s="42" t="s">
        <v>482</v>
      </c>
      <c r="F7" s="42" t="s">
        <v>486</v>
      </c>
      <c r="G7" s="42" t="s">
        <v>483</v>
      </c>
      <c r="H7" s="42" t="s">
        <v>160</v>
      </c>
      <c r="I7" s="42" t="s">
        <v>138</v>
      </c>
      <c r="J7" s="42" t="s">
        <v>487</v>
      </c>
    </row>
    <row r="8" spans="1:10" ht="19.5" customHeight="1" x14ac:dyDescent="0.2">
      <c r="A8" s="42" t="s">
        <v>119</v>
      </c>
      <c r="B8" s="42" t="s">
        <v>122</v>
      </c>
      <c r="C8" s="42" t="s">
        <v>120</v>
      </c>
      <c r="D8" s="42" t="s">
        <v>121</v>
      </c>
      <c r="E8" s="42" t="s">
        <v>482</v>
      </c>
      <c r="F8" s="42" t="s">
        <v>488</v>
      </c>
      <c r="G8" s="42" t="s">
        <v>489</v>
      </c>
      <c r="H8" s="42" t="s">
        <v>160</v>
      </c>
      <c r="I8" s="42" t="s">
        <v>138</v>
      </c>
      <c r="J8" s="42" t="s">
        <v>490</v>
      </c>
    </row>
    <row r="9" spans="1:10" ht="19.5" customHeight="1" x14ac:dyDescent="0.2">
      <c r="A9" s="43" t="s">
        <v>491</v>
      </c>
      <c r="B9" s="43" t="s">
        <v>492</v>
      </c>
      <c r="C9" s="43" t="s">
        <v>120</v>
      </c>
      <c r="D9" s="43" t="s">
        <v>121</v>
      </c>
      <c r="E9" s="43" t="s">
        <v>161</v>
      </c>
      <c r="F9" s="43" t="s">
        <v>493</v>
      </c>
      <c r="G9" s="43" t="s">
        <v>494</v>
      </c>
      <c r="H9" s="43" t="s">
        <v>160</v>
      </c>
      <c r="I9" s="43" t="s">
        <v>138</v>
      </c>
      <c r="J9" s="43" t="s">
        <v>495</v>
      </c>
    </row>
    <row r="10" spans="1:10" ht="19.5" customHeight="1" x14ac:dyDescent="0.2">
      <c r="A10" s="43" t="s">
        <v>496</v>
      </c>
      <c r="B10" s="43" t="s">
        <v>492</v>
      </c>
      <c r="C10" s="43" t="s">
        <v>120</v>
      </c>
      <c r="D10" s="43" t="s">
        <v>121</v>
      </c>
      <c r="E10" s="43" t="s">
        <v>497</v>
      </c>
      <c r="F10" s="43" t="s">
        <v>489</v>
      </c>
      <c r="G10" s="43" t="s">
        <v>498</v>
      </c>
      <c r="H10" s="43" t="s">
        <v>160</v>
      </c>
      <c r="I10" s="43" t="s">
        <v>138</v>
      </c>
      <c r="J10" s="43" t="s">
        <v>499</v>
      </c>
    </row>
    <row r="11" spans="1:10" ht="19.5" customHeight="1" x14ac:dyDescent="0.2">
      <c r="A11" s="44" t="s">
        <v>500</v>
      </c>
      <c r="B11" s="44" t="s">
        <v>501</v>
      </c>
      <c r="C11" s="44" t="s">
        <v>120</v>
      </c>
      <c r="D11" s="44" t="s">
        <v>121</v>
      </c>
      <c r="E11" s="44" t="s">
        <v>502</v>
      </c>
      <c r="F11" s="44" t="s">
        <v>493</v>
      </c>
      <c r="G11" s="44" t="s">
        <v>503</v>
      </c>
      <c r="H11" s="44" t="s">
        <v>160</v>
      </c>
      <c r="I11" s="44" t="s">
        <v>138</v>
      </c>
      <c r="J11" s="44" t="s">
        <v>504</v>
      </c>
    </row>
    <row r="12" spans="1:10" ht="19.5" customHeight="1" x14ac:dyDescent="0.2">
      <c r="A12" s="45" t="s">
        <v>505</v>
      </c>
      <c r="B12" s="45" t="s">
        <v>506</v>
      </c>
      <c r="C12" s="45" t="s">
        <v>507</v>
      </c>
      <c r="D12" s="45" t="s">
        <v>508</v>
      </c>
      <c r="E12" s="45" t="s">
        <v>473</v>
      </c>
      <c r="F12" s="45" t="s">
        <v>509</v>
      </c>
      <c r="G12" s="45" t="s">
        <v>509</v>
      </c>
      <c r="H12" s="45" t="s">
        <v>160</v>
      </c>
      <c r="I12" s="45" t="s">
        <v>138</v>
      </c>
      <c r="J12" s="45" t="s">
        <v>510</v>
      </c>
    </row>
    <row r="13" spans="1:10" ht="19.5" customHeight="1" x14ac:dyDescent="0.2">
      <c r="A13" s="45" t="s">
        <v>511</v>
      </c>
      <c r="B13" s="45" t="s">
        <v>506</v>
      </c>
      <c r="C13" s="45" t="s">
        <v>507</v>
      </c>
      <c r="D13" s="45" t="s">
        <v>508</v>
      </c>
      <c r="E13" s="45" t="s">
        <v>473</v>
      </c>
      <c r="F13" s="45" t="s">
        <v>509</v>
      </c>
      <c r="G13" s="45" t="s">
        <v>509</v>
      </c>
      <c r="H13" s="45" t="s">
        <v>160</v>
      </c>
      <c r="I13" s="45" t="s">
        <v>138</v>
      </c>
      <c r="J13" s="45" t="s">
        <v>512</v>
      </c>
    </row>
    <row r="14" spans="1:10" ht="19.5" customHeight="1" x14ac:dyDescent="0.2">
      <c r="A14" s="45" t="s">
        <v>513</v>
      </c>
      <c r="B14" s="45" t="s">
        <v>506</v>
      </c>
      <c r="C14" s="45" t="s">
        <v>507</v>
      </c>
      <c r="D14" s="45" t="s">
        <v>508</v>
      </c>
      <c r="E14" s="45" t="s">
        <v>473</v>
      </c>
      <c r="F14" s="45" t="s">
        <v>509</v>
      </c>
      <c r="G14" s="45" t="s">
        <v>509</v>
      </c>
      <c r="H14" s="45" t="s">
        <v>160</v>
      </c>
      <c r="I14" s="45" t="s">
        <v>138</v>
      </c>
      <c r="J14" s="45" t="s">
        <v>514</v>
      </c>
    </row>
    <row r="15" spans="1:10" ht="19.5" customHeight="1" x14ac:dyDescent="0.2">
      <c r="A15" s="46" t="s">
        <v>515</v>
      </c>
      <c r="B15" s="46" t="s">
        <v>516</v>
      </c>
      <c r="C15" s="46" t="s">
        <v>507</v>
      </c>
      <c r="D15" s="46" t="s">
        <v>508</v>
      </c>
      <c r="E15" s="46" t="s">
        <v>502</v>
      </c>
      <c r="F15" s="46" t="s">
        <v>509</v>
      </c>
      <c r="G15" s="46" t="s">
        <v>509</v>
      </c>
      <c r="H15" s="46" t="s">
        <v>160</v>
      </c>
      <c r="I15" s="46" t="s">
        <v>138</v>
      </c>
      <c r="J15" s="46" t="s">
        <v>517</v>
      </c>
    </row>
    <row r="16" spans="1:10" ht="19.5" customHeight="1" x14ac:dyDescent="0.2">
      <c r="A16" s="47" t="s">
        <v>518</v>
      </c>
      <c r="B16" s="47" t="s">
        <v>519</v>
      </c>
      <c r="C16" s="47" t="s">
        <v>507</v>
      </c>
      <c r="D16" s="47" t="s">
        <v>508</v>
      </c>
      <c r="E16" s="47" t="s">
        <v>520</v>
      </c>
      <c r="F16" s="47" t="s">
        <v>509</v>
      </c>
      <c r="G16" s="47" t="s">
        <v>509</v>
      </c>
      <c r="H16" s="47" t="s">
        <v>160</v>
      </c>
      <c r="I16" s="47" t="s">
        <v>138</v>
      </c>
      <c r="J16" s="47" t="s">
        <v>521</v>
      </c>
    </row>
    <row r="17" spans="1:10" ht="19.5" customHeight="1" x14ac:dyDescent="0.2">
      <c r="A17" s="48" t="s">
        <v>522</v>
      </c>
      <c r="B17" s="48" t="s">
        <v>523</v>
      </c>
      <c r="C17" s="48" t="s">
        <v>507</v>
      </c>
      <c r="D17" s="48" t="s">
        <v>508</v>
      </c>
      <c r="E17" s="48" t="s">
        <v>524</v>
      </c>
      <c r="F17" s="48" t="s">
        <v>509</v>
      </c>
      <c r="G17" s="48" t="s">
        <v>509</v>
      </c>
      <c r="H17" s="48" t="s">
        <v>160</v>
      </c>
      <c r="I17" s="48" t="s">
        <v>138</v>
      </c>
      <c r="J17" s="48" t="s">
        <v>525</v>
      </c>
    </row>
    <row r="18" spans="1:10" ht="19.5" customHeight="1" x14ac:dyDescent="0.2">
      <c r="A18" s="49" t="s">
        <v>526</v>
      </c>
      <c r="B18" s="49" t="s">
        <v>527</v>
      </c>
      <c r="C18" s="49" t="s">
        <v>507</v>
      </c>
      <c r="D18" s="49" t="s">
        <v>508</v>
      </c>
      <c r="E18" s="49" t="s">
        <v>528</v>
      </c>
      <c r="F18" s="49" t="s">
        <v>509</v>
      </c>
      <c r="G18" s="49" t="s">
        <v>509</v>
      </c>
      <c r="H18" s="49" t="s">
        <v>160</v>
      </c>
      <c r="I18" s="49" t="s">
        <v>138</v>
      </c>
      <c r="J18" s="49" t="s">
        <v>529</v>
      </c>
    </row>
    <row r="19" spans="1:10" ht="19.5" customHeight="1" x14ac:dyDescent="0.2">
      <c r="A19" s="50" t="s">
        <v>530</v>
      </c>
      <c r="B19" s="50" t="s">
        <v>531</v>
      </c>
      <c r="C19" s="50" t="s">
        <v>507</v>
      </c>
      <c r="D19" s="50" t="s">
        <v>508</v>
      </c>
      <c r="E19" s="50" t="s">
        <v>473</v>
      </c>
      <c r="F19" s="50" t="s">
        <v>509</v>
      </c>
      <c r="G19" s="50" t="s">
        <v>509</v>
      </c>
      <c r="H19" s="50" t="s">
        <v>160</v>
      </c>
      <c r="I19" s="50" t="s">
        <v>138</v>
      </c>
      <c r="J19" s="50" t="s">
        <v>532</v>
      </c>
    </row>
    <row r="20" spans="1:10" ht="30" customHeight="1" x14ac:dyDescent="0.2">
      <c r="A20" s="61" t="s">
        <v>533</v>
      </c>
      <c r="B20" s="61"/>
      <c r="C20" s="61"/>
      <c r="D20" s="61"/>
      <c r="E20" s="61"/>
      <c r="F20" s="61"/>
      <c r="G20" s="61"/>
      <c r="H20" s="61"/>
      <c r="I20" s="61"/>
      <c r="J20" s="61"/>
    </row>
    <row r="21" spans="1:10" ht="69.75" customHeight="1" x14ac:dyDescent="0.2">
      <c r="A21" s="51" t="s">
        <v>119</v>
      </c>
      <c r="B21" s="51" t="s">
        <v>122</v>
      </c>
      <c r="C21" s="51" t="s">
        <v>120</v>
      </c>
      <c r="D21" s="51" t="s">
        <v>121</v>
      </c>
      <c r="E21" s="51" t="s">
        <v>482</v>
      </c>
      <c r="F21" s="51" t="s">
        <v>488</v>
      </c>
      <c r="G21" s="51" t="s">
        <v>489</v>
      </c>
      <c r="H21" s="51" t="s">
        <v>160</v>
      </c>
      <c r="I21" s="51" t="s">
        <v>138</v>
      </c>
      <c r="J21" s="51" t="s">
        <v>534</v>
      </c>
    </row>
    <row r="22" spans="1:10" ht="69.75" customHeight="1" x14ac:dyDescent="0.2">
      <c r="A22" s="51" t="s">
        <v>198</v>
      </c>
      <c r="B22" s="51" t="s">
        <v>122</v>
      </c>
      <c r="C22" s="51" t="s">
        <v>120</v>
      </c>
      <c r="D22" s="51" t="s">
        <v>121</v>
      </c>
      <c r="E22" s="51" t="s">
        <v>482</v>
      </c>
      <c r="F22" s="51" t="s">
        <v>486</v>
      </c>
      <c r="G22" s="51" t="s">
        <v>483</v>
      </c>
      <c r="H22" s="51" t="s">
        <v>160</v>
      </c>
      <c r="I22" s="51" t="s">
        <v>138</v>
      </c>
      <c r="J22" s="51" t="s">
        <v>535</v>
      </c>
    </row>
    <row r="23" spans="1:10" ht="69.75" customHeight="1" x14ac:dyDescent="0.2">
      <c r="A23" s="51" t="s">
        <v>215</v>
      </c>
      <c r="B23" s="51" t="s">
        <v>122</v>
      </c>
      <c r="C23" s="51" t="s">
        <v>120</v>
      </c>
      <c r="D23" s="51" t="s">
        <v>121</v>
      </c>
      <c r="E23" s="51" t="s">
        <v>482</v>
      </c>
      <c r="F23" s="51" t="s">
        <v>486</v>
      </c>
      <c r="G23" s="51" t="s">
        <v>483</v>
      </c>
      <c r="H23" s="51" t="s">
        <v>160</v>
      </c>
      <c r="I23" s="51" t="s">
        <v>138</v>
      </c>
      <c r="J23" s="51" t="s">
        <v>536</v>
      </c>
    </row>
    <row r="24" spans="1:10" ht="69.75" customHeight="1" x14ac:dyDescent="0.2">
      <c r="A24" s="51" t="s">
        <v>232</v>
      </c>
      <c r="B24" s="51" t="s">
        <v>122</v>
      </c>
      <c r="C24" s="51" t="s">
        <v>120</v>
      </c>
      <c r="D24" s="51" t="s">
        <v>121</v>
      </c>
      <c r="E24" s="51" t="s">
        <v>482</v>
      </c>
      <c r="F24" s="51" t="s">
        <v>537</v>
      </c>
      <c r="G24" s="51" t="s">
        <v>538</v>
      </c>
      <c r="H24" s="51" t="s">
        <v>160</v>
      </c>
      <c r="I24" s="51" t="s">
        <v>138</v>
      </c>
      <c r="J24" s="51" t="s">
        <v>539</v>
      </c>
    </row>
    <row r="25" spans="1:10" ht="69.75" customHeight="1" x14ac:dyDescent="0.2">
      <c r="A25" s="51" t="s">
        <v>316</v>
      </c>
      <c r="B25" s="51" t="s">
        <v>122</v>
      </c>
      <c r="C25" s="51" t="s">
        <v>120</v>
      </c>
      <c r="D25" s="51" t="s">
        <v>121</v>
      </c>
      <c r="E25" s="51" t="s">
        <v>482</v>
      </c>
      <c r="F25" s="51" t="s">
        <v>486</v>
      </c>
      <c r="G25" s="51" t="s">
        <v>483</v>
      </c>
      <c r="H25" s="51" t="s">
        <v>160</v>
      </c>
      <c r="I25" s="51" t="s">
        <v>138</v>
      </c>
      <c r="J25" s="51" t="s">
        <v>540</v>
      </c>
    </row>
  </sheetData>
  <mergeCells count="3">
    <mergeCell ref="A1:J1"/>
    <mergeCell ref="A2:J2"/>
    <mergeCell ref="A20:J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30"/>
  <sheetViews>
    <sheetView showGridLines="0" tabSelected="1" topLeftCell="A5" zoomScaleNormal="100" workbookViewId="0">
      <selection activeCell="C6" sqref="C6"/>
    </sheetView>
  </sheetViews>
  <sheetFormatPr baseColWidth="10" defaultColWidth="8.6640625" defaultRowHeight="15" x14ac:dyDescent="0.2"/>
  <cols>
    <col min="1" max="1" width="3" customWidth="1"/>
    <col min="2" max="2" width="30" customWidth="1"/>
    <col min="3" max="3" width="22" customWidth="1"/>
    <col min="4" max="4" width="3" customWidth="1"/>
  </cols>
  <sheetData>
    <row r="1" spans="2:3" ht="33.75" customHeight="1" x14ac:dyDescent="0.2">
      <c r="B1" s="62" t="s">
        <v>18</v>
      </c>
      <c r="C1" s="62"/>
    </row>
    <row r="2" spans="2:3" ht="18" customHeight="1" x14ac:dyDescent="0.2">
      <c r="B2" s="63" t="s">
        <v>541</v>
      </c>
      <c r="C2" s="63"/>
    </row>
    <row r="4" spans="2:3" ht="21.75" customHeight="1" x14ac:dyDescent="0.2">
      <c r="B4" s="64" t="s">
        <v>542</v>
      </c>
      <c r="C4" s="64"/>
    </row>
    <row r="5" spans="2:3" ht="24" customHeight="1" x14ac:dyDescent="0.2">
      <c r="B5" s="15" t="s">
        <v>543</v>
      </c>
      <c r="C5" s="52">
        <f>COUNTA('Experiment Log'!A4:A54)-COUNTIF('Experiment Log'!A4:A54,"")</f>
        <v>-21</v>
      </c>
    </row>
    <row r="6" spans="2:3" ht="24" customHeight="1" x14ac:dyDescent="0.2">
      <c r="B6" s="15" t="s">
        <v>544</v>
      </c>
      <c r="C6" s="52" t="e">
        <f>SUMPRODUCT(('Experiment Log'!G4:G54&lt;&gt;"")/COUNTIF(IF('Experiment Log'!G4:G54&lt;&gt;"", 'Experiment Log'!G4:G54,"placeholder"),IF('Experiment Log'!G4:G54&lt;&gt;"", 'Experiment Log'!G4:G54,"placeholder")))</f>
        <v>#DIV/0!</v>
      </c>
    </row>
    <row r="7" spans="2:3" ht="7.5" customHeight="1" x14ac:dyDescent="0.2"/>
    <row r="8" spans="2:3" ht="21.75" customHeight="1" x14ac:dyDescent="0.2">
      <c r="B8" s="65" t="s">
        <v>545</v>
      </c>
      <c r="C8" s="65"/>
    </row>
    <row r="9" spans="2:3" ht="24" customHeight="1" x14ac:dyDescent="0.2">
      <c r="B9" s="15" t="s">
        <v>546</v>
      </c>
      <c r="C9" s="53">
        <f>IFERROR(SUM('Experiment Log'!AB4:AB54),0)</f>
        <v>785.58</v>
      </c>
    </row>
    <row r="10" spans="2:3" ht="24" customHeight="1" x14ac:dyDescent="0.2">
      <c r="B10" s="15" t="s">
        <v>547</v>
      </c>
      <c r="C10" s="53">
        <f>IFERROR(AVERAGE(IF('Experiment Log'!AB4:AB54&lt;&gt;"",'Experiment Log'!AB4:AB54)),0)</f>
        <v>52.372</v>
      </c>
    </row>
    <row r="11" spans="2:3" ht="7.5" customHeight="1" x14ac:dyDescent="0.2"/>
    <row r="12" spans="2:3" ht="21.75" customHeight="1" x14ac:dyDescent="0.2">
      <c r="B12" s="66" t="s">
        <v>548</v>
      </c>
      <c r="C12" s="66"/>
    </row>
    <row r="13" spans="2:3" ht="24" customHeight="1" x14ac:dyDescent="0.2">
      <c r="B13" s="15" t="s">
        <v>549</v>
      </c>
      <c r="C13" s="54">
        <f>IFERROR(SUM('Experiment Log'!Y4:Y54),0)</f>
        <v>17917000</v>
      </c>
    </row>
    <row r="14" spans="2:3" ht="24" customHeight="1" x14ac:dyDescent="0.2">
      <c r="B14" s="15" t="s">
        <v>550</v>
      </c>
      <c r="C14" s="54">
        <f>IFERROR(SUM('Experiment Log'!Z4:Z54),0)</f>
        <v>150246000</v>
      </c>
    </row>
    <row r="15" spans="2:3" ht="24" customHeight="1" x14ac:dyDescent="0.2">
      <c r="B15" s="15" t="s">
        <v>551</v>
      </c>
      <c r="C15" s="55">
        <f>IFERROR(SUM('Experiment Log'!AA4:AA54),0)</f>
        <v>392.79</v>
      </c>
    </row>
    <row r="16" spans="2:3" ht="24" customHeight="1" x14ac:dyDescent="0.2">
      <c r="B16" s="15" t="s">
        <v>552</v>
      </c>
      <c r="C16" s="54">
        <f>IFERROR(AVERAGE(IF('Experiment Log'!AA4:AA54&lt;&gt;"",'Experiment Log'!AA4:AA54)),0)</f>
        <v>26.186</v>
      </c>
    </row>
    <row r="17" spans="2:3" ht="7.5" customHeight="1" x14ac:dyDescent="0.2"/>
    <row r="18" spans="2:3" ht="21.75" customHeight="1" x14ac:dyDescent="0.2">
      <c r="B18" s="67" t="s">
        <v>553</v>
      </c>
      <c r="C18" s="67"/>
    </row>
    <row r="19" spans="2:3" ht="24" customHeight="1" x14ac:dyDescent="0.2">
      <c r="B19" s="15" t="s">
        <v>554</v>
      </c>
      <c r="C19" s="56">
        <f>IFERROR(AVERAGEIF('Experiment Log'!AH4:AH54,"&gt;0"),0)</f>
        <v>0</v>
      </c>
    </row>
    <row r="20" spans="2:3" ht="24" customHeight="1" x14ac:dyDescent="0.2">
      <c r="B20" s="15" t="s">
        <v>555</v>
      </c>
      <c r="C20" s="57">
        <f>COUNTIF('Experiment Log'!AH4:AH54,"&gt;=4")</f>
        <v>0</v>
      </c>
    </row>
    <row r="21" spans="2:3" ht="24" customHeight="1" x14ac:dyDescent="0.2">
      <c r="B21" s="15" t="s">
        <v>556</v>
      </c>
      <c r="C21" s="57">
        <f>COUNTIF('Experiment Log'!AI4:AI54,"Yes")</f>
        <v>0</v>
      </c>
    </row>
    <row r="22" spans="2:3" ht="24" customHeight="1" x14ac:dyDescent="0.2">
      <c r="B22" s="15" t="s">
        <v>557</v>
      </c>
      <c r="C22" s="57">
        <f>COUNTIF('Experiment Log'!AI4:AI54,"Partial")</f>
        <v>0</v>
      </c>
    </row>
    <row r="23" spans="2:3" ht="7.5" customHeight="1" x14ac:dyDescent="0.2"/>
    <row r="24" spans="2:3" ht="21.75" customHeight="1" x14ac:dyDescent="0.2">
      <c r="B24" s="68" t="s">
        <v>558</v>
      </c>
      <c r="C24" s="68"/>
    </row>
    <row r="25" spans="2:3" ht="24" customHeight="1" x14ac:dyDescent="0.2">
      <c r="B25" s="15" t="s">
        <v>559</v>
      </c>
      <c r="C25" s="58">
        <f>COUNTIF('Experiment Log'!AJ4:AJ54,"Yes")</f>
        <v>0</v>
      </c>
    </row>
    <row r="26" spans="2:3" ht="24" customHeight="1" x14ac:dyDescent="0.2">
      <c r="B26" s="15" t="s">
        <v>560</v>
      </c>
      <c r="C26" s="58">
        <f>COUNTIF('Experiment Log'!AK4:AK54,"&lt;&gt;"&amp;"")-COUNTIF('Experiment Log'!AK4:AK54,"None observed")-COUNTIF('Experiment Log'!AK4:AK54,"")</f>
        <v>-21</v>
      </c>
    </row>
    <row r="27" spans="2:3" ht="24" customHeight="1" x14ac:dyDescent="0.2">
      <c r="B27" s="15" t="s">
        <v>561</v>
      </c>
      <c r="C27" s="58">
        <f>COUNTIF('Experiment Log'!AL4:AL54,"Yes")</f>
        <v>15</v>
      </c>
    </row>
    <row r="28" spans="2:3" ht="7.5" customHeight="1" x14ac:dyDescent="0.2"/>
    <row r="29" spans="2:3" ht="30" customHeight="1" x14ac:dyDescent="0.2">
      <c r="B29" s="69" t="s">
        <v>562</v>
      </c>
      <c r="C29" s="69"/>
    </row>
    <row r="30" spans="2:3" ht="240" customHeight="1" x14ac:dyDescent="0.2">
      <c r="B30" s="59" t="s">
        <v>563</v>
      </c>
    </row>
  </sheetData>
  <mergeCells count="8">
    <mergeCell ref="B18:C18"/>
    <mergeCell ref="B24:C24"/>
    <mergeCell ref="B29:C29"/>
    <mergeCell ref="B1:C1"/>
    <mergeCell ref="B2:C2"/>
    <mergeCell ref="B4:C4"/>
    <mergeCell ref="B8:C8"/>
    <mergeCell ref="B12:C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Experiment Log</vt:lpstr>
      <vt:lpstr>Prompt Library</vt:lpstr>
      <vt:lpstr>Model Reference</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Lauren COETZEE</cp:lastModifiedBy>
  <cp:revision>0</cp:revision>
  <dcterms:created xsi:type="dcterms:W3CDTF">2026-03-19T09:27:42Z</dcterms:created>
  <dcterms:modified xsi:type="dcterms:W3CDTF">2026-03-19T12:04:31Z</dcterms:modified>
  <dc:language>en-US</dc:language>
</cp:coreProperties>
</file>