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lauren.coetzee/Library/Application Support/Claude/local-agent-mode-sessions/7a3c0b17-f6c3-473c-abaa-dad6fd07b6f7/8dcc5781-cf89-49f3-94e4-708b489bb5ce/local_477b91d8-8f89-4e9b-862b-25895adfd4a3/outputs/"/>
    </mc:Choice>
  </mc:AlternateContent>
  <xr:revisionPtr revIDLastSave="0" documentId="13_ncr:1_{E3248F78-BCBB-D14F-93ED-5B600D8601BD}" xr6:coauthVersionLast="47" xr6:coauthVersionMax="47" xr10:uidLastSave="{00000000-0000-0000-0000-000000000000}"/>
  <bookViews>
    <workbookView xWindow="0" yWindow="660" windowWidth="30240" windowHeight="17880" tabRatio="500" xr2:uid="{00000000-000D-0000-FFFF-FFFF00000000}"/>
  </bookViews>
  <sheets>
    <sheet name="How To Use" sheetId="1" r:id="rId1"/>
    <sheet name="Experiment Log" sheetId="2" r:id="rId2"/>
    <sheet name="Prompt Library" sheetId="3" r:id="rId3"/>
    <sheet name="Model Reference" sheetId="4" r:id="rId4"/>
    <sheet name="Summary Dashboard"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5" l="1"/>
  <c r="C26" i="5"/>
  <c r="C25" i="5"/>
  <c r="C22" i="5"/>
  <c r="C21" i="5"/>
  <c r="C20" i="5"/>
  <c r="C19" i="5"/>
  <c r="C16" i="5"/>
  <c r="C15" i="5"/>
  <c r="C13" i="5"/>
  <c r="C6" i="5"/>
  <c r="C5" i="5"/>
  <c r="AB54" i="2"/>
  <c r="Z54" i="2"/>
  <c r="AB53" i="2"/>
  <c r="Z53" i="2"/>
  <c r="AB52" i="2"/>
  <c r="Z52" i="2"/>
  <c r="AB51" i="2"/>
  <c r="Z51" i="2"/>
  <c r="AB50" i="2"/>
  <c r="Z50" i="2"/>
  <c r="AB49" i="2"/>
  <c r="Z49" i="2"/>
  <c r="AB48" i="2"/>
  <c r="Z48" i="2"/>
  <c r="AB47" i="2"/>
  <c r="Z47" i="2"/>
  <c r="AB46" i="2"/>
  <c r="Z46" i="2"/>
  <c r="AB45" i="2"/>
  <c r="Z45" i="2"/>
  <c r="AB44" i="2"/>
  <c r="Z44" i="2"/>
  <c r="AB43" i="2"/>
  <c r="Z43" i="2"/>
  <c r="AB42" i="2"/>
  <c r="Z42" i="2"/>
  <c r="AB41" i="2"/>
  <c r="Z41" i="2"/>
  <c r="AB40" i="2"/>
  <c r="Z40" i="2"/>
  <c r="AB39" i="2"/>
  <c r="Z39" i="2"/>
  <c r="AB38" i="2"/>
  <c r="Z38" i="2"/>
  <c r="AB37" i="2"/>
  <c r="Z37" i="2"/>
  <c r="AB36" i="2"/>
  <c r="Z36" i="2"/>
  <c r="AB35" i="2"/>
  <c r="Z35" i="2"/>
  <c r="AB34" i="2"/>
  <c r="Z34" i="2"/>
  <c r="AB33" i="2"/>
  <c r="Z33" i="2"/>
  <c r="AB32" i="2"/>
  <c r="Z32" i="2"/>
  <c r="AB31" i="2"/>
  <c r="Z31" i="2"/>
  <c r="AB30" i="2"/>
  <c r="Z30" i="2"/>
  <c r="AB29" i="2"/>
  <c r="Z29" i="2"/>
  <c r="AB28" i="2"/>
  <c r="Z28" i="2"/>
  <c r="AB27" i="2"/>
  <c r="Z27" i="2"/>
  <c r="AB26" i="2"/>
  <c r="Z26" i="2"/>
  <c r="AB25" i="2"/>
  <c r="Z25" i="2"/>
  <c r="AB24" i="2"/>
  <c r="Z24" i="2"/>
  <c r="AB23" i="2"/>
  <c r="Z23" i="2"/>
  <c r="AB22" i="2"/>
  <c r="Z22" i="2"/>
  <c r="AB21" i="2"/>
  <c r="Z21" i="2"/>
  <c r="AB20" i="2"/>
  <c r="Z20" i="2"/>
  <c r="AB19" i="2"/>
  <c r="Z19" i="2"/>
  <c r="AB18" i="2"/>
  <c r="Z18" i="2"/>
  <c r="AB17" i="2"/>
  <c r="Z17" i="2"/>
  <c r="AB16" i="2"/>
  <c r="Z16" i="2"/>
  <c r="AB15" i="2"/>
  <c r="Z15" i="2"/>
  <c r="AB14" i="2"/>
  <c r="Z14" i="2"/>
  <c r="AB13" i="2"/>
  <c r="Z13" i="2"/>
  <c r="AB12" i="2"/>
  <c r="Z12" i="2"/>
  <c r="AB11" i="2"/>
  <c r="Z11" i="2"/>
  <c r="AB10" i="2"/>
  <c r="C10" i="5" s="1"/>
  <c r="Z10" i="2"/>
  <c r="AB9" i="2"/>
  <c r="Z9" i="2"/>
  <c r="AB8" i="2"/>
  <c r="Z8" i="2"/>
  <c r="AB7" i="2"/>
  <c r="Z7" i="2"/>
  <c r="AB6" i="2"/>
  <c r="Z6" i="2"/>
  <c r="AB5" i="2"/>
  <c r="Z5" i="2"/>
  <c r="AB4" i="2"/>
  <c r="C9" i="5" s="1"/>
  <c r="Z4" i="2"/>
  <c r="C1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LLM Research Template</author>
  </authors>
  <commentList>
    <comment ref="A2" authorId="0" shapeId="0" xr:uid="{00000000-0006-0000-0100-000001000000}">
      <text>
        <r>
          <rPr>
            <sz val="10"/>
            <rFont val="Arial"/>
            <family val="2"/>
          </rPr>
          <t>Unique identifier for this run. Format: R001, R002…</t>
        </r>
      </text>
    </comment>
    <comment ref="B2" authorId="0" shapeId="0" xr:uid="{00000000-0006-0000-0100-000002000000}">
      <text>
        <r>
          <rPr>
            <sz val="10"/>
            <rFont val="Arial"/>
            <family val="2"/>
          </rPr>
          <t>Date and time you started this run. Format: YYYY-MM-DD HH:MM</t>
        </r>
      </text>
    </comment>
    <comment ref="C2" authorId="0" shapeId="0" xr:uid="{00000000-0006-0000-0100-000003000000}">
      <text>
        <r>
          <rPr>
            <sz val="10"/>
            <rFont val="Arial"/>
            <family val="2"/>
          </rPr>
          <t>How long the model took to respond, in minutes.</t>
        </r>
      </text>
    </comment>
    <comment ref="D2" authorId="0" shapeId="0" xr:uid="{00000000-0006-0000-0100-000004000000}">
      <text>
        <r>
          <rPr>
            <sz val="10"/>
            <rFont val="Arial"/>
            <family val="2"/>
          </rPr>
          <t>Your name or initials.</t>
        </r>
      </text>
    </comment>
    <comment ref="E2" authorId="0" shapeId="0" xr:uid="{00000000-0006-0000-0100-000005000000}">
      <text>
        <r>
          <rPr>
            <sz val="10"/>
            <rFont val="Arial"/>
            <family val="2"/>
          </rPr>
          <t>The specific question or task this experiment is trying to answer or accomplish.</t>
        </r>
      </text>
    </comment>
    <comment ref="F2" authorId="0" shapeId="0" xr:uid="{00000000-0006-0000-0100-000006000000}">
      <text>
        <r>
          <rPr>
            <sz val="10"/>
            <rFont val="Arial"/>
            <family val="2"/>
          </rPr>
          <t>Which iteration of this experiment is this? Start at 1. Increment when changing anything.</t>
        </r>
      </text>
    </comment>
    <comment ref="G2" authorId="0" shapeId="0" xr:uid="{00000000-0006-0000-0100-000007000000}">
      <text>
        <r>
          <rPr>
            <sz val="10"/>
            <rFont val="Arial"/>
            <family val="2"/>
          </rPr>
          <t>Full model name, e.g. gpt-4o-2024-08-06, claude-3-5-sonnet-20241022, llama3.1:8b</t>
        </r>
      </text>
    </comment>
    <comment ref="H2" authorId="0" shapeId="0" xr:uid="{00000000-0006-0000-0100-000008000000}">
      <text>
        <r>
          <rPr>
            <sz val="10"/>
            <rFont val="Arial"/>
            <family val="2"/>
          </rPr>
          <t>Open = weights are publicly available. Closed = proprietary / weights not released.</t>
        </r>
      </text>
    </comment>
    <comment ref="I2" authorId="0" shapeId="0" xr:uid="{00000000-0006-0000-0100-000009000000}">
      <text>
        <r>
          <rPr>
            <sz val="10"/>
            <rFont val="Arial"/>
            <family val="2"/>
          </rPr>
          <t>Cloud = API call to a remote server. Local = model running on your own machine.</t>
        </r>
      </text>
    </comment>
    <comment ref="J2" authorId="0" shapeId="0" xr:uid="{00000000-0006-0000-0100-00000A000000}">
      <text>
        <r>
          <rPr>
            <sz val="10"/>
            <rFont val="Arial"/>
            <family val="2"/>
          </rPr>
          <t>E.g. OpenAI, Anthropic, Google, Mistral, Ollama, LM Studio, HuggingFace Inference…</t>
        </r>
      </text>
    </comment>
    <comment ref="K2" authorId="0" shapeId="0" xr:uid="{00000000-0006-0000-0100-00000B000000}">
      <text>
        <r>
          <rPr>
            <sz val="10"/>
            <rFont val="Arial"/>
            <family val="2"/>
          </rPr>
          <t>The API version or endpoint used, e.g. v1, v2, /chat/completions. Helps reproducibility.</t>
        </r>
      </text>
    </comment>
    <comment ref="L2" authorId="0" shapeId="0" xr:uid="{00000000-0006-0000-0100-00000C000000}">
      <text>
        <r>
          <rPr>
            <sz val="10"/>
            <rFont val="Arial"/>
            <family val="2"/>
          </rPr>
          <t>Randomness setting. 0 = deterministic, 1 = creative. Typical range: 0–2.</t>
        </r>
      </text>
    </comment>
    <comment ref="M2" authorId="0" shapeId="0" xr:uid="{00000000-0006-0000-0100-00000D000000}">
      <text>
        <r>
          <rPr>
            <sz val="10"/>
            <rFont val="Arial"/>
            <family val="2"/>
          </rPr>
          <t>Nucleus sampling. 1.0 = no restriction. 0.9 = top 90% probability mass. Default: 1.0</t>
        </r>
      </text>
    </comment>
    <comment ref="N2" authorId="0" shapeId="0" xr:uid="{00000000-0006-0000-0100-00000E000000}">
      <text>
        <r>
          <rPr>
            <sz val="10"/>
            <rFont val="Arial"/>
            <family val="2"/>
          </rPr>
          <t>Limits token selection to top K candidates. Leave blank if using default.</t>
        </r>
      </text>
    </comment>
    <comment ref="O2" authorId="0" shapeId="0" xr:uid="{00000000-0006-0000-0100-00000F000000}">
      <text>
        <r>
          <rPr>
            <sz val="10"/>
            <rFont val="Arial"/>
            <family val="2"/>
          </rPr>
          <t>Maximum number of tokens the model is allowed to generate in its response.</t>
        </r>
      </text>
    </comment>
    <comment ref="P2" authorId="0" shapeId="0" xr:uid="{00000000-0006-0000-0100-000010000000}">
      <text>
        <r>
          <rPr>
            <sz val="10"/>
            <rFont val="Arial"/>
            <family val="2"/>
          </rPr>
          <t>Discourages repetition of the same words. Range: -2.0 to 2.0. Default: 0.</t>
        </r>
      </text>
    </comment>
    <comment ref="Q2" authorId="0" shapeId="0" xr:uid="{00000000-0006-0000-0100-000011000000}">
      <text>
        <r>
          <rPr>
            <sz val="10"/>
            <rFont val="Arial"/>
            <family val="2"/>
          </rPr>
          <t>Encourages the model to talk about new topics. Range: -2.0 to 2.0. Default: 0.</t>
        </r>
      </text>
    </comment>
    <comment ref="R2" authorId="0" shapeId="0" xr:uid="{00000000-0006-0000-0100-000012000000}">
      <text>
        <r>
          <rPr>
            <sz val="10"/>
            <rFont val="Arial"/>
            <family val="2"/>
          </rPr>
          <t>Fixed random seed for reproducibility. Leave blank if unsupported or not used.</t>
        </r>
      </text>
    </comment>
    <comment ref="S2" authorId="0" shapeId="0" xr:uid="{00000000-0006-0000-0100-000013000000}">
      <text>
        <r>
          <rPr>
            <sz val="10"/>
            <rFont val="Arial"/>
            <family val="2"/>
          </rPr>
          <t>Tokens that tell the model to stop generating. E.g. '\n\n' or 'END'.</t>
        </r>
      </text>
    </comment>
    <comment ref="T2" authorId="0" shapeId="0" xr:uid="{00000000-0006-0000-0100-000014000000}">
      <text>
        <r>
          <rPr>
            <sz val="10"/>
            <rFont val="Arial"/>
            <family val="2"/>
          </rPr>
          <t>Version ID of the system prompt from your Prompt Library. E.g. SP-01.</t>
        </r>
      </text>
    </comment>
    <comment ref="U2" authorId="0" shapeId="0" xr:uid="{00000000-0006-0000-0100-000015000000}">
      <text>
        <r>
          <rPr>
            <sz val="10"/>
            <rFont val="Arial"/>
            <family val="2"/>
          </rPr>
          <t>Version ID of the user prompt from your Prompt Library. E.g. UP-03.</t>
        </r>
      </text>
    </comment>
    <comment ref="V2" authorId="0" shapeId="0" xr:uid="{00000000-0006-0000-0100-000016000000}">
      <text>
        <r>
          <rPr>
            <sz val="10"/>
            <rFont val="Arial"/>
            <family val="2"/>
          </rPr>
          <t>Describe what you changed from the previous run. E.g. 'Lowered temperature from 0.7 to 0.3'</t>
        </r>
      </text>
    </comment>
    <comment ref="W2" authorId="0" shapeId="0" xr:uid="{00000000-0006-0000-0100-000017000000}">
      <text>
        <r>
          <rPr>
            <sz val="10"/>
            <rFont val="Arial"/>
            <family val="2"/>
          </rPr>
          <t>WHY did you make this change? E.g. 'Output was too random, needed consistency for citation extraction'</t>
        </r>
      </text>
    </comment>
    <comment ref="X2" authorId="0" shapeId="0" xr:uid="{00000000-0006-0000-0100-000018000000}">
      <text>
        <r>
          <rPr>
            <sz val="10"/>
            <rFont val="Arial"/>
            <family val="2"/>
          </rPr>
          <t>Number of tokens in your prompt (system + user). Check your API response or provider dashboard.</t>
        </r>
      </text>
    </comment>
    <comment ref="Y2" authorId="0" shapeId="0" xr:uid="{00000000-0006-0000-0100-000019000000}">
      <text>
        <r>
          <rPr>
            <sz val="10"/>
            <rFont val="Arial"/>
            <family val="2"/>
          </rPr>
          <t>Number of tokens in the model's response.</t>
        </r>
      </text>
    </comment>
    <comment ref="Z2" authorId="0" shapeId="0" xr:uid="{00000000-0006-0000-0100-00001A000000}">
      <text>
        <r>
          <rPr>
            <sz val="10"/>
            <rFont val="Arial"/>
            <family val="2"/>
          </rPr>
          <t>Auto-calculated: Input + Output tokens.</t>
        </r>
      </text>
    </comment>
    <comment ref="AA2" authorId="0" shapeId="0" xr:uid="{00000000-0006-0000-0100-00001B000000}">
      <text>
        <r>
          <rPr>
            <sz val="10"/>
            <rFont val="Arial"/>
            <family val="2"/>
          </rPr>
          <t>Cost of this single run in USD. Check your API billing or use the Model Reference sheet for rates.</t>
        </r>
      </text>
    </comment>
    <comment ref="AB2" authorId="0" shapeId="0" xr:uid="{00000000-0006-0000-0100-00001C000000}">
      <text>
        <r>
          <rPr>
            <sz val="10"/>
            <rFont val="Arial"/>
            <family val="2"/>
          </rPr>
          <t>Auto-calculated: running total of all costs so far in this sheet.</t>
        </r>
      </text>
    </comment>
    <comment ref="AC2" authorId="0" shapeId="0" xr:uid="{00000000-0006-0000-0100-00001D000000}">
      <text>
        <r>
          <rPr>
            <sz val="10"/>
            <rFont val="Arial"/>
            <family val="2"/>
          </rPr>
          <t>Paste the model output here, or a clear summary. For long outputs, store in a file and note the path.</t>
        </r>
      </text>
    </comment>
    <comment ref="AD2" authorId="0" shapeId="0" xr:uid="{00000000-0006-0000-0100-00001E000000}">
      <text>
        <r>
          <rPr>
            <sz val="10"/>
            <rFont val="Arial"/>
            <family val="2"/>
          </rPr>
          <t>If you saved the output to a file, paste the path or URL here.</t>
        </r>
      </text>
    </comment>
    <comment ref="AE2" authorId="0" shapeId="0" xr:uid="{00000000-0006-0000-0100-00001F000000}">
      <text>
        <r>
          <rPr>
            <sz val="10"/>
            <rFont val="Arial"/>
            <family val="2"/>
          </rPr>
          <t>What did you expect or hope to see? This helps evaluate whether the experiment succeeded.</t>
        </r>
      </text>
    </comment>
    <comment ref="AF2" authorId="0" shapeId="0" xr:uid="{00000000-0006-0000-0100-000020000000}">
      <text>
        <r>
          <rPr>
            <sz val="10"/>
            <rFont val="Arial"/>
            <family val="2"/>
          </rPr>
          <t>Rate the output: 1=Poor, 2=Below avg, 3=Acceptable, 4=Good, 5=Excellent</t>
        </r>
      </text>
    </comment>
    <comment ref="AG2" authorId="0" shapeId="0" xr:uid="{00000000-0006-0000-0100-000021000000}">
      <text>
        <r>
          <rPr>
            <sz val="10"/>
            <rFont val="Arial"/>
            <family val="2"/>
          </rPr>
          <t>Did this run meet your research criteria? Yes / Partial / No</t>
        </r>
      </text>
    </comment>
    <comment ref="AH2" authorId="0" shapeId="0" xr:uid="{00000000-0006-0000-0100-000022000000}">
      <text>
        <r>
          <rPr>
            <sz val="10"/>
            <rFont val="Arial"/>
            <family val="2"/>
          </rPr>
          <t>What worked well? What failed? Any surprising outputs?</t>
        </r>
      </text>
    </comment>
    <comment ref="AI2" authorId="0" shapeId="0" xr:uid="{00000000-0006-0000-0100-000023000000}">
      <text>
        <r>
          <rPr>
            <sz val="10"/>
            <rFont val="Arial"/>
            <family val="2"/>
          </rPr>
          <t>How did this run's result change your thinking or next steps?</t>
        </r>
      </text>
    </comment>
    <comment ref="AJ2" authorId="0" shapeId="0" xr:uid="{00000000-0006-0000-0100-000024000000}">
      <text>
        <r>
          <rPr>
            <sz val="10"/>
            <rFont val="Arial"/>
            <family val="2"/>
          </rPr>
          <t>Did the model state anything factually incorrect with confidence? Yes / No / Unsure</t>
        </r>
      </text>
    </comment>
    <comment ref="AK2" authorId="0" shapeId="0" xr:uid="{00000000-0006-0000-0100-000025000000}">
      <text>
        <r>
          <rPr>
            <sz val="10"/>
            <rFont val="Arial"/>
            <family val="2"/>
          </rPr>
          <t>Any noticeable bias in the output (gender, cultural, political, etc.)? Describe briefly.</t>
        </r>
      </text>
    </comment>
    <comment ref="AL2" authorId="0" shapeId="0" xr:uid="{00000000-0006-0000-0100-000026000000}">
      <text>
        <r>
          <rPr>
            <sz val="10"/>
            <rFont val="Arial"/>
            <family val="2"/>
          </rPr>
          <t>Did your prompt contain personal, confidential, or sensitive data? Yes / No. Note any concerns.</t>
        </r>
      </text>
    </comment>
    <comment ref="AM2" authorId="0" shapeId="0" xr:uid="{00000000-0006-0000-0100-000027000000}">
      <text>
        <r>
          <rPr>
            <sz val="10"/>
            <rFont val="Arial"/>
            <family val="2"/>
          </rPr>
          <t>Limitations, ethical concerns, or methodological caveats for this run.</t>
        </r>
      </text>
    </comment>
    <comment ref="AN2" authorId="0" shapeId="0" xr:uid="{00000000-0006-0000-0100-000028000000}">
      <text>
        <r>
          <rPr>
            <sz val="10"/>
            <rFont val="Arial"/>
            <family val="2"/>
          </rPr>
          <t>Comma-separated tags for filtering later. E.g. 'summarisation, few-shot, v2-prompt'</t>
        </r>
      </text>
    </comment>
    <comment ref="AO2" authorId="0" shapeId="0" xr:uid="{00000000-0006-0000-0100-000029000000}">
      <text>
        <r>
          <rPr>
            <sz val="10"/>
            <rFont val="Arial"/>
            <family val="2"/>
          </rPr>
          <t>What will you do next based on this result? E.g. 'Try few-shot examples', 'Increase max_tokens'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LLM Research Template</author>
  </authors>
  <commentList>
    <comment ref="A2" authorId="0" shapeId="0" xr:uid="{00000000-0006-0000-0200-000001000000}">
      <text>
        <r>
          <rPr>
            <sz val="10"/>
            <rFont val="Arial"/>
            <family val="2"/>
          </rPr>
          <t>Unique ID. Format: SP-01 (system), UP-01 (user). Increment for each change.</t>
        </r>
      </text>
    </comment>
    <comment ref="B2" authorId="0" shapeId="0" xr:uid="{00000000-0006-0000-0200-000002000000}">
      <text>
        <r>
          <rPr>
            <sz val="10"/>
            <rFont val="Arial"/>
            <family val="2"/>
          </rPr>
          <t>System Prompt or User Prompt</t>
        </r>
      </text>
    </comment>
    <comment ref="C2" authorId="0" shapeId="0" xr:uid="{00000000-0006-0000-0200-000003000000}">
      <text>
        <r>
          <rPr>
            <sz val="10"/>
            <rFont val="Arial"/>
            <family val="2"/>
          </rPr>
          <t>When this version was written. YYYY-MM-DD</t>
        </r>
      </text>
    </comment>
    <comment ref="D2" authorId="0" shapeId="0" xr:uid="{00000000-0006-0000-0200-000004000000}">
      <text>
        <r>
          <rPr>
            <sz val="10"/>
            <rFont val="Arial"/>
            <family val="2"/>
          </rPr>
          <t>Researcher name or initials.</t>
        </r>
      </text>
    </comment>
    <comment ref="E2" authorId="0" shapeId="0" xr:uid="{00000000-0006-0000-0200-000005000000}">
      <text>
        <r>
          <rPr>
            <sz val="10"/>
            <color rgb="FF000000"/>
            <rFont val="Arial"/>
            <family val="2"/>
          </rPr>
          <t>Full text of the prompt. Paste exactly as sent to the model.</t>
        </r>
      </text>
    </comment>
    <comment ref="F2" authorId="0" shapeId="0" xr:uid="{00000000-0006-0000-0200-000006000000}">
      <text>
        <r>
          <rPr>
            <sz val="10"/>
            <rFont val="Arial"/>
            <family val="2"/>
          </rPr>
          <t>What is different from the previous version? Be specific.</t>
        </r>
      </text>
    </comment>
    <comment ref="G2" authorId="0" shapeId="0" xr:uid="{00000000-0006-0000-0200-000007000000}">
      <text>
        <r>
          <rPr>
            <sz val="10"/>
            <rFont val="Arial"/>
            <family val="2"/>
          </rPr>
          <t>Why was this change made?</t>
        </r>
      </text>
    </comment>
    <comment ref="H2" authorId="0" shapeId="0" xr:uid="{00000000-0006-0000-0200-000008000000}">
      <text>
        <r>
          <rPr>
            <sz val="10"/>
            <rFont val="Arial"/>
            <family val="2"/>
          </rPr>
          <t>Comma-separated Run IDs where this prompt version was used. E.g. R001, R002</t>
        </r>
      </text>
    </comment>
    <comment ref="I2" authorId="0" shapeId="0" xr:uid="{00000000-0006-0000-0200-000009000000}">
      <text>
        <r>
          <rPr>
            <sz val="10"/>
            <rFont val="Arial"/>
            <family val="2"/>
          </rPr>
          <t>Active = currently in use. Retired = replaced. Draft = not yet tested.</t>
        </r>
      </text>
    </comment>
  </commentList>
</comments>
</file>

<file path=xl/sharedStrings.xml><?xml version="1.0" encoding="utf-8"?>
<sst xmlns="http://schemas.openxmlformats.org/spreadsheetml/2006/main" count="395" uniqueCount="280">
  <si>
    <t>A beginner-friendly log for transparent, reproducible AI research</t>
  </si>
  <si>
    <t>What this template is for</t>
  </si>
  <si>
    <t>Purpose</t>
  </si>
  <si>
    <t>This workbook helps you document every step of your LLM experiments so that you (and others) can understand exactly what you did, why you did it, and what happened. Good documentation is the foundation of trustworthy research.</t>
  </si>
  <si>
    <t>Who it is for</t>
  </si>
  <si>
    <t>Beginners and intermediate researchers working with any LLM — cloud APIs (OpenAI, Anthropic, Google, Mistral…), local models (Ollama, LM Studio, llama.cpp…), or open-weight models on HuggingFace.</t>
  </si>
  <si>
    <t>Core principle</t>
  </si>
  <si>
    <t>If someone else read your log, could they reproduce your experiment? That is the standard to aim for.</t>
  </si>
  <si>
    <t>Sheets in this workbook</t>
  </si>
  <si>
    <t>This guide — read first.</t>
  </si>
  <si>
    <t>Your main logging sheet. One row = one experiment run. Fill in every column.</t>
  </si>
  <si>
    <t>Store and version your prompts here. Reference them from the Experiment Log.</t>
  </si>
  <si>
    <t>A lookup table of common models, their parameters, and rough pricing.</t>
  </si>
  <si>
    <t>Auto-calculated stats. Do not edit manually — it updates as you log experiments.</t>
  </si>
  <si>
    <t>Step-by-step workflow</t>
  </si>
  <si>
    <t>Step 1 — Before you start</t>
  </si>
  <si>
    <t>Write your research question in the Experiment Log header. Draft your prompt(s) in the Prompt Library and give each one a version number (e.g. SP-01, UP-01).</t>
  </si>
  <si>
    <t>Step 2 — Choose your model &amp; settings</t>
  </si>
  <si>
    <t>Consult the Model Reference sheet to understand the model's parameters. Note the model name, version, temperature, top-p, and seed before running.</t>
  </si>
  <si>
    <t>Step 3 — Run your experiment</t>
  </si>
  <si>
    <t>Run the model with your chosen settings. Time-stamp the run. Copy or summarise the output in the Experiment Log.</t>
  </si>
  <si>
    <t>Step 4 — Evaluate the output</t>
  </si>
  <si>
    <t>Rate the quality (1–5). Note what worked, what did not. Record any bias, hallucinations, or ethical concerns observed.</t>
  </si>
  <si>
    <t>Step 5 — Document changes</t>
  </si>
  <si>
    <t>If you change anything — prompt, temperature, model — log it as a NEW row. Write the rationale ('why did I change this?') and the observed impact.</t>
  </si>
  <si>
    <t>Step 6 — Review the Dashboard</t>
  </si>
  <si>
    <t>Check the Summary Dashboard for cost totals, token usage, and quality trends.</t>
  </si>
  <si>
    <t>Key concepts for beginners</t>
  </si>
  <si>
    <t>Temperature</t>
  </si>
  <si>
    <t>Controls randomness. 0 = very predictable (good for structured tasks). 1+ = more creative/varied. Most research should start at 0 or 0.2 for consistency.</t>
  </si>
  <si>
    <t>Top-p (nucleus sampling)</t>
  </si>
  <si>
    <t>Limits the pool of words the model picks from. 0.9 means the model only considers the top 90% probability words. Use with temperature, not instead of it.</t>
  </si>
  <si>
    <t>Top-k</t>
  </si>
  <si>
    <t>Limits the model to its top K choices at each step. Lower = more focused. Often left at default.</t>
  </si>
  <si>
    <t>Seed</t>
  </si>
  <si>
    <t>A number that fixes the random starting point. Two runs with the same seed, prompt, and settings should produce the same output — this is essential for reproducibility. Not all APIs support seeds.</t>
  </si>
  <si>
    <t>Tokens</t>
  </si>
  <si>
    <t>The units text is split into. Roughly 1 token ≈ 0.75 English words. APIs charge per token (input and output separately). Context window = the maximum tokens the model can 'see' at once.</t>
  </si>
  <si>
    <t>System prompt</t>
  </si>
  <si>
    <t>Instructions given to the model before the user message. Sets tone, role, format, constraints. Changes here can dramatically affect outputs.</t>
  </si>
  <si>
    <t>Prompt versioning</t>
  </si>
  <si>
    <t>Give each distinct prompt a version number (e.g. UP-01, UP-02). This lets you trace which prompt produced which result.</t>
  </si>
  <si>
    <t>Hallucination</t>
  </si>
  <si>
    <t>When an LLM confidently states something false. Always verify factual claims, especially for research outputs.</t>
  </si>
  <si>
    <t>🔖  IDENTIFIERS</t>
  </si>
  <si>
    <t>🤖  MODEL</t>
  </si>
  <si>
    <t>⚙️   PARAMETERS</t>
  </si>
  <si>
    <t>💬  PROMPTS &amp; CHANGES</t>
  </si>
  <si>
    <t>💰  TOKENS &amp; COST</t>
  </si>
  <si>
    <t>📝  OUTPUT &amp; EVALUATION</t>
  </si>
  <si>
    <t>⚠️   ETHICS &amp; FLAGS</t>
  </si>
  <si>
    <t>🏷️   TAGS</t>
  </si>
  <si>
    <t>Run ID</t>
  </si>
  <si>
    <t>Timestamp
(Start)</t>
  </si>
  <si>
    <t>Duration
(mins)</t>
  </si>
  <si>
    <t>Researcher</t>
  </si>
  <si>
    <t>Research
Question</t>
  </si>
  <si>
    <t>Iteration
Number</t>
  </si>
  <si>
    <t>Model Name</t>
  </si>
  <si>
    <t>Model Type
(Open/Closed)</t>
  </si>
  <si>
    <t>Deployment
(Cloud/Local)</t>
  </si>
  <si>
    <t>Provider /
Platform</t>
  </si>
  <si>
    <t>API Version /
Endpoint</t>
  </si>
  <si>
    <t>Top-p</t>
  </si>
  <si>
    <t>Max Tokens
(Output)</t>
  </si>
  <si>
    <t>Frequency
Penalty</t>
  </si>
  <si>
    <t>Presence
Penalty</t>
  </si>
  <si>
    <t>Stop
Sequences</t>
  </si>
  <si>
    <t>System Prompt
Version</t>
  </si>
  <si>
    <t>User Prompt
Version</t>
  </si>
  <si>
    <t>What Changed
(vs. prev.)</t>
  </si>
  <si>
    <t>Rationale for
Change</t>
  </si>
  <si>
    <t>Input
Tokens</t>
  </si>
  <si>
    <t>Output
Tokens</t>
  </si>
  <si>
    <t>Total
Tokens</t>
  </si>
  <si>
    <t>Cost
(USD)</t>
  </si>
  <si>
    <t>Cumulative
Cost (USD)</t>
  </si>
  <si>
    <t>Output Summary
(or Paste Full)</t>
  </si>
  <si>
    <t>Output File
Path / Link</t>
  </si>
  <si>
    <t>Expected
Output</t>
  </si>
  <si>
    <t>Quality
Rating (1-5)</t>
  </si>
  <si>
    <t>Success
Criteria Met?</t>
  </si>
  <si>
    <t>Evaluation
Notes</t>
  </si>
  <si>
    <t>Impact on
Research</t>
  </si>
  <si>
    <t>Hallucinations
Observed?</t>
  </si>
  <si>
    <t>Bias
Observed?</t>
  </si>
  <si>
    <t>Sensitive Data
Used?</t>
  </si>
  <si>
    <t>Ethical /
Methodological Notes</t>
  </si>
  <si>
    <t>Tags /
Keywords</t>
  </si>
  <si>
    <t>Next Action /
Follow-up</t>
  </si>
  <si>
    <t>R001, R002…</t>
  </si>
  <si>
    <t>YYYY-MM-DD HH:MM</t>
  </si>
  <si>
    <t>Your name</t>
  </si>
  <si>
    <t>gpt-4o-mini, llama3.1:8b…</t>
  </si>
  <si>
    <t>Open / Closed</t>
  </si>
  <si>
    <t>Cloud / Local</t>
  </si>
  <si>
    <t>0.0 – 2.0</t>
  </si>
  <si>
    <t>0.0 – 1.0</t>
  </si>
  <si>
    <t>e.g. 40</t>
  </si>
  <si>
    <t>e.g. 2048</t>
  </si>
  <si>
    <t>from API response</t>
  </si>
  <si>
    <t>auto-calculated</t>
  </si>
  <si>
    <t>running total</t>
  </si>
  <si>
    <t>1–5</t>
  </si>
  <si>
    <t>Yes / Partial / No</t>
  </si>
  <si>
    <t>Yes / No / Unsure</t>
  </si>
  <si>
    <t>Yes / No</t>
  </si>
  <si>
    <t>R001 ★</t>
  </si>
  <si>
    <t>2024-11-01 09:30</t>
  </si>
  <si>
    <t>1.5</t>
  </si>
  <si>
    <t>Lauren C.</t>
  </si>
  <si>
    <t>Does summarisation quality improve with longer system prompts?</t>
  </si>
  <si>
    <t>1</t>
  </si>
  <si>
    <t>gpt-4o-2024-08-06</t>
  </si>
  <si>
    <t>Closed</t>
  </si>
  <si>
    <t>Cloud</t>
  </si>
  <si>
    <t>OpenAI</t>
  </si>
  <si>
    <t>v1 / /chat/completions</t>
  </si>
  <si>
    <t>0.2</t>
  </si>
  <si>
    <t>1.0</t>
  </si>
  <si>
    <t>512</t>
  </si>
  <si>
    <t>0</t>
  </si>
  <si>
    <t>42</t>
  </si>
  <si>
    <t>SP-01</t>
  </si>
  <si>
    <t>UP-01</t>
  </si>
  <si>
    <t>First run — no previous run</t>
  </si>
  <si>
    <t>Baseline to compare all future runs against</t>
  </si>
  <si>
    <t>320</t>
  </si>
  <si>
    <t>187</t>
  </si>
  <si>
    <t>0.0032</t>
  </si>
  <si>
    <t>The model produced a 3-paragraph summary retaining key facts.</t>
  </si>
  <si>
    <t>Concise summary preserving all main arguments.</t>
  </si>
  <si>
    <t>4</t>
  </si>
  <si>
    <t>Yes</t>
  </si>
  <si>
    <t>Good factual accuracy. Slightly verbose intro paragraph.</t>
  </si>
  <si>
    <t>Baseline established. Will test lower temperature next.</t>
  </si>
  <si>
    <t>No</t>
  </si>
  <si>
    <t>None observed</t>
  </si>
  <si>
    <t>Public dataset used. No ethical concerns for this run.</t>
  </si>
  <si>
    <t>summarisation, baseline, gpt-4o</t>
  </si>
  <si>
    <t>Run R002: reduce temperature to 0.0, compare output</t>
  </si>
  <si>
    <t>Version ID</t>
  </si>
  <si>
    <t>Prompt Type</t>
  </si>
  <si>
    <t>Date Created</t>
  </si>
  <si>
    <t>Created By</t>
  </si>
  <si>
    <t>Prompt Text</t>
  </si>
  <si>
    <t>Changed From
Previous Version</t>
  </si>
  <si>
    <t>Rationale</t>
  </si>
  <si>
    <t>Used in Runs</t>
  </si>
  <si>
    <t>Status</t>
  </si>
  <si>
    <t>System Prompt</t>
  </si>
  <si>
    <t>2024-11-01</t>
  </si>
  <si>
    <t>You are an expert academic research assistant. Your task is to summarise scholarly texts clearly and concisely. Use formal language. Do not add information not present in the source text.</t>
  </si>
  <si>
    <t>First version — no previous</t>
  </si>
  <si>
    <t>Baseline system prompt</t>
  </si>
  <si>
    <t>R001, R002</t>
  </si>
  <si>
    <t>Retired</t>
  </si>
  <si>
    <t>SP-02</t>
  </si>
  <si>
    <t>2024-11-03</t>
  </si>
  <si>
    <t>You are an expert academic research assistant. Summarise scholarly texts clearly and concisely using formal language. Structure your summary with: (1) Main argument, (2) Key evidence, (3) Conclusions. Do not add information not in the source.</t>
  </si>
  <si>
    <t>Added structured output format (3-part structure)</t>
  </si>
  <si>
    <t>Wanted to see if structured output improved usability for downstream citation extraction</t>
  </si>
  <si>
    <t>R003, R004</t>
  </si>
  <si>
    <t>Active</t>
  </si>
  <si>
    <t>User Prompt</t>
  </si>
  <si>
    <t>Please summarise the following text in no more than 200 words:
[TEXT]</t>
  </si>
  <si>
    <t>First version</t>
  </si>
  <si>
    <t>Baseline user prompt with word limit</t>
  </si>
  <si>
    <t>R001</t>
  </si>
  <si>
    <t>UP-02</t>
  </si>
  <si>
    <t>2024-11-02</t>
  </si>
  <si>
    <t>Summarise the following academic text. Aim for 150–200 words. Preserve all key claims and citations mentioned.
[TEXT]</t>
  </si>
  <si>
    <t>Added citation preservation instruction; changed word count to a range</t>
  </si>
  <si>
    <t>R001 output dropped a key citation — added explicit instruction to preserve them</t>
  </si>
  <si>
    <t>R002, R003, R004</t>
  </si>
  <si>
    <t>Provider</t>
  </si>
  <si>
    <t>Type
(Open/Closed)</t>
  </si>
  <si>
    <t>Deployment</t>
  </si>
  <si>
    <t>Context
Window (K tokens)</t>
  </si>
  <si>
    <t>Input Cost
($/1M tokens)</t>
  </si>
  <si>
    <t>Output Cost
($/1M tokens)</t>
  </si>
  <si>
    <t>Default
Temp.</t>
  </si>
  <si>
    <t>Seed
Support?</t>
  </si>
  <si>
    <t>Notes</t>
  </si>
  <si>
    <t>128</t>
  </si>
  <si>
    <t>2.50</t>
  </si>
  <si>
    <t>10.00</t>
  </si>
  <si>
    <t>Latest GPT-4o checkpoint. Strong reasoning and vision.</t>
  </si>
  <si>
    <t>gpt-4o-mini</t>
  </si>
  <si>
    <t>0.15</t>
  </si>
  <si>
    <t>0.60</t>
  </si>
  <si>
    <t>Cheaper, faster. Good for high-volume tasks.</t>
  </si>
  <si>
    <t>o1</t>
  </si>
  <si>
    <t>200</t>
  </si>
  <si>
    <t>15.00</t>
  </si>
  <si>
    <t>60.00</t>
  </si>
  <si>
    <t>Optimised for complex reasoning. Slower.</t>
  </si>
  <si>
    <t>claude-3-5-sonnet-20241022</t>
  </si>
  <si>
    <t>Anthropic</t>
  </si>
  <si>
    <t>3.00</t>
  </si>
  <si>
    <t>Strong at analysis, code, long documents.</t>
  </si>
  <si>
    <t>claude-3-haiku-20240307</t>
  </si>
  <si>
    <t>0.25</t>
  </si>
  <si>
    <t>1.25</t>
  </si>
  <si>
    <t>Fast and cheap. Good for classification tasks.</t>
  </si>
  <si>
    <t>gemini-2.0-flash</t>
  </si>
  <si>
    <t>Google</t>
  </si>
  <si>
    <t>1000</t>
  </si>
  <si>
    <t>0.10</t>
  </si>
  <si>
    <t>0.40</t>
  </si>
  <si>
    <t>Very long context. Good multimodal support.</t>
  </si>
  <si>
    <t>gemini-1.5-pro</t>
  </si>
  <si>
    <t>2000</t>
  </si>
  <si>
    <t>5.00</t>
  </si>
  <si>
    <t>Largest context window. Document-heavy tasks.</t>
  </si>
  <si>
    <t>mistral-small-latest</t>
  </si>
  <si>
    <t>Mistral</t>
  </si>
  <si>
    <t>32</t>
  </si>
  <si>
    <t>0.30</t>
  </si>
  <si>
    <t>Cost-effective European model.</t>
  </si>
  <si>
    <t>llama3.1:8b</t>
  </si>
  <si>
    <t>Meta / Ollama</t>
  </si>
  <si>
    <t>Open</t>
  </si>
  <si>
    <t>Local</t>
  </si>
  <si>
    <t>Free</t>
  </si>
  <si>
    <t>Run locally via Ollama. Good for experimentation.</t>
  </si>
  <si>
    <t>llama3.1:70b</t>
  </si>
  <si>
    <t>Larger local model. Requires significant GPU VRAM.</t>
  </si>
  <si>
    <t>llama3.3:70b</t>
  </si>
  <si>
    <t>Updated Llama 3.3 — improved instruction following.</t>
  </si>
  <si>
    <t>mistral:7b</t>
  </si>
  <si>
    <t>Mistral / Ollama</t>
  </si>
  <si>
    <t>Popular open model for local use.</t>
  </si>
  <si>
    <t>phi4</t>
  </si>
  <si>
    <t>Microsoft / Ollama</t>
  </si>
  <si>
    <t>16</t>
  </si>
  <si>
    <t>Small but capable. Good for resource-limited machines.</t>
  </si>
  <si>
    <t>gemma2:9b</t>
  </si>
  <si>
    <t>Google / Ollama</t>
  </si>
  <si>
    <t>8</t>
  </si>
  <si>
    <t>Google open model. Runs well on consumer hardware.</t>
  </si>
  <si>
    <t>deepseek-r1:14b</t>
  </si>
  <si>
    <t>DeepSeek / Ollama</t>
  </si>
  <si>
    <t>64</t>
  </si>
  <si>
    <t>Reasoning-focused open model.</t>
  </si>
  <si>
    <t>qwen2.5:14b</t>
  </si>
  <si>
    <t>Alibaba / Ollama</t>
  </si>
  <si>
    <t>Strong multilingual capabilities.</t>
  </si>
  <si>
    <t>Prices shown are approximate as of early 2025. Check openai.com/pricing, anthropic.com/pricing, and ai.google.dev/pricing for current rates. Local models are free to run but require suitable hardware (GPU recommended for 7B+ models).</t>
  </si>
  <si>
    <t>Auto-calculated from the Experiment Log. Do not edit this sheet.</t>
  </si>
  <si>
    <t>Total runs logged</t>
  </si>
  <si>
    <t>Unique models tested</t>
  </si>
  <si>
    <t>Total cost (USD)</t>
  </si>
  <si>
    <t>Average cost per run (USD)</t>
  </si>
  <si>
    <t>Total input tokens</t>
  </si>
  <si>
    <t>Total output tokens</t>
  </si>
  <si>
    <t>Total tokens (all runs)</t>
  </si>
  <si>
    <t>Average tokens per run</t>
  </si>
  <si>
    <t>Average quality rating (1–5)</t>
  </si>
  <si>
    <t>Runs rated 4 or 5 (Good/Excellent)</t>
  </si>
  <si>
    <t>Runs meeting success criteria (Yes)</t>
  </si>
  <si>
    <t>Runs with partial success</t>
  </si>
  <si>
    <t>Runs with hallucinations noted (Yes)</t>
  </si>
  <si>
    <t>Runs with bias observed</t>
  </si>
  <si>
    <t>Runs using sensitive data (Yes)</t>
  </si>
  <si>
    <t>LLM Research Documentation Template</t>
  </si>
  <si>
    <t>How To Use</t>
  </si>
  <si>
    <t>Experiment Log</t>
  </si>
  <si>
    <t>Prompt Library</t>
  </si>
  <si>
    <t>Model Reference</t>
  </si>
  <si>
    <t>Summary Dashboard</t>
  </si>
  <si>
    <t>This dashboard reads directly from your Experiment Log. Add or edit data there, then return here to review totals.</t>
  </si>
  <si>
    <t>Experiment Overview</t>
  </si>
  <si>
    <t>Cost Tracking</t>
  </si>
  <si>
    <t>Token Usage</t>
  </si>
  <si>
    <t>Quality &amp; Outcomes</t>
  </si>
  <si>
    <t>Flags &amp; Ethics</t>
  </si>
  <si>
    <t>Model Reference — Common LLMs, Parameters &amp; Approximate Pricing</t>
  </si>
  <si>
    <t>Pricing and specifications change frequently. Always verify at the provider's official pricing page before logging costs.</t>
  </si>
  <si>
    <t>Prompt Library — Version Control for Your Prompts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</si>
</sst>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30" x14ac:knownFonts="1">
    <font>
      <sz val="11"/>
      <color theme="1"/>
      <name val="Calibri"/>
      <family val="2"/>
      <charset val="1"/>
    </font>
    <font>
      <b/>
      <sz val="16"/>
      <color rgb="FFFFFFFF"/>
      <name val="Arial"/>
      <charset val="1"/>
    </font>
    <font>
      <i/>
      <sz val="10"/>
      <color rgb="FF555555"/>
      <name val="Arial"/>
      <charset val="1"/>
    </font>
    <font>
      <b/>
      <sz val="11"/>
      <color rgb="FFFFFFFF"/>
      <name val="Arial"/>
      <charset val="1"/>
    </font>
    <font>
      <b/>
      <sz val="10"/>
      <color rgb="FF000000"/>
      <name val="Arial"/>
      <charset val="1"/>
    </font>
    <font>
      <sz val="10"/>
      <color rgb="FF000000"/>
      <name val="Arial"/>
      <charset val="1"/>
    </font>
    <font>
      <b/>
      <sz val="10"/>
      <color rgb="FFFFFFFF"/>
      <name val="Arial"/>
      <charset val="1"/>
    </font>
    <font>
      <b/>
      <sz val="9"/>
      <color rgb="FF1F3864"/>
      <name val="Arial"/>
      <charset val="1"/>
    </font>
    <font>
      <i/>
      <sz val="8"/>
      <color rgb="FF888888"/>
      <name val="Arial"/>
      <charset val="1"/>
    </font>
    <font>
      <i/>
      <sz val="9"/>
      <color rgb="FFB8860B"/>
      <name val="Arial"/>
      <charset val="1"/>
    </font>
    <font>
      <i/>
      <sz val="9"/>
      <color rgb="FF000000"/>
      <name val="Arial"/>
      <charset val="1"/>
    </font>
    <font>
      <sz val="9"/>
      <name val="Arial"/>
      <charset val="1"/>
    </font>
    <font>
      <sz val="10"/>
      <name val="Arial"/>
      <family val="2"/>
    </font>
    <font>
      <b/>
      <sz val="13"/>
      <color rgb="FFFFFFFF"/>
      <name val="Arial"/>
      <charset val="1"/>
    </font>
    <font>
      <b/>
      <sz val="12"/>
      <color rgb="FFFFFFFF"/>
      <name val="Arial"/>
      <charset val="1"/>
    </font>
    <font>
      <i/>
      <sz val="9"/>
      <color rgb="FFB71C1C"/>
      <name val="Arial"/>
      <charset val="1"/>
    </font>
    <font>
      <sz val="9"/>
      <color rgb="FF000000"/>
      <name val="Arial"/>
      <charset val="1"/>
    </font>
    <font>
      <i/>
      <sz val="8"/>
      <color rgb="FF555555"/>
      <name val="Arial"/>
      <charset val="1"/>
    </font>
    <font>
      <b/>
      <sz val="14"/>
      <color rgb="FFFFFFFF"/>
      <name val="Arial"/>
      <charset val="1"/>
    </font>
    <font>
      <i/>
      <sz val="9"/>
      <color rgb="FF555555"/>
      <name val="Arial"/>
      <charset val="1"/>
    </font>
    <font>
      <b/>
      <sz val="10"/>
      <color rgb="FF1F3864"/>
      <name val="Arial"/>
      <charset val="1"/>
    </font>
    <font>
      <b/>
      <sz val="16"/>
      <color rgb="FFFFFFFF"/>
      <name val="Arial"/>
      <family val="2"/>
    </font>
    <font>
      <sz val="10"/>
      <color rgb="FF000000"/>
      <name val="Arial"/>
      <family val="2"/>
    </font>
    <font>
      <b/>
      <sz val="10"/>
      <color rgb="FF000000"/>
      <name val="Arial"/>
      <family val="2"/>
    </font>
    <font>
      <i/>
      <sz val="9"/>
      <color rgb="FF555555"/>
      <name val="Arial"/>
      <family val="2"/>
    </font>
    <font>
      <b/>
      <sz val="14"/>
      <color rgb="FFFFFFFF"/>
      <name val="Arial"/>
      <family val="2"/>
    </font>
    <font>
      <b/>
      <sz val="10"/>
      <color rgb="FFFFFFFF"/>
      <name val="Arial"/>
      <family val="2"/>
    </font>
    <font>
      <b/>
      <sz val="12"/>
      <color rgb="FFFFFFFF"/>
      <name val="Arial"/>
      <family val="2"/>
    </font>
    <font>
      <i/>
      <sz val="9"/>
      <color rgb="FFB71C1C"/>
      <name val="Arial"/>
      <family val="2"/>
    </font>
    <font>
      <b/>
      <sz val="13"/>
      <color rgb="FFFFFFFF"/>
      <name val="Arial"/>
      <family val="2"/>
    </font>
  </fonts>
  <fills count="31">
    <fill>
      <patternFill patternType="none"/>
    </fill>
    <fill>
      <patternFill patternType="gray125"/>
    </fill>
    <fill>
      <patternFill patternType="solid">
        <fgColor rgb="FF1F3864"/>
        <bgColor rgb="FF37474F"/>
      </patternFill>
    </fill>
    <fill>
      <patternFill patternType="solid">
        <fgColor rgb="FFEAF1FB"/>
        <bgColor rgb="FFE3F2FD"/>
      </patternFill>
    </fill>
    <fill>
      <patternFill patternType="solid">
        <fgColor rgb="FF2E75B6"/>
        <bgColor rgb="FF1565C0"/>
      </patternFill>
    </fill>
    <fill>
      <patternFill patternType="solid">
        <fgColor rgb="FFD6E4F0"/>
        <bgColor rgb="FFDBEAFE"/>
      </patternFill>
    </fill>
    <fill>
      <patternFill patternType="solid">
        <fgColor rgb="FFFFFFFF"/>
        <bgColor rgb="FFFAFAFA"/>
      </patternFill>
    </fill>
    <fill>
      <patternFill patternType="solid">
        <fgColor rgb="FF2E7D32"/>
        <bgColor rgb="FF008000"/>
      </patternFill>
    </fill>
    <fill>
      <patternFill patternType="solid">
        <fgColor rgb="FF6A1B9A"/>
        <bgColor rgb="FF800080"/>
      </patternFill>
    </fill>
    <fill>
      <patternFill patternType="solid">
        <fgColor rgb="FFE65100"/>
        <bgColor rgb="FFB8860B"/>
      </patternFill>
    </fill>
    <fill>
      <patternFill patternType="solid">
        <fgColor rgb="FF1565C0"/>
        <bgColor rgb="FF2E75B6"/>
      </patternFill>
    </fill>
    <fill>
      <patternFill patternType="solid">
        <fgColor rgb="FFB71C1C"/>
        <bgColor rgb="FF993366"/>
      </patternFill>
    </fill>
    <fill>
      <patternFill patternType="solid">
        <fgColor rgb="FF37474F"/>
        <bgColor rgb="FF1F3864"/>
      </patternFill>
    </fill>
    <fill>
      <patternFill patternType="solid">
        <fgColor rgb="FFDBEAFE"/>
        <bgColor rgb="FFD6E4F0"/>
      </patternFill>
    </fill>
    <fill>
      <patternFill patternType="solid">
        <fgColor rgb="FFE8F5E9"/>
        <bgColor rgb="FFF1F8E9"/>
      </patternFill>
    </fill>
    <fill>
      <patternFill patternType="solid">
        <fgColor rgb="FFF3E5F5"/>
        <bgColor rgb="FFEDE7F6"/>
      </patternFill>
    </fill>
    <fill>
      <patternFill patternType="solid">
        <fgColor rgb="FFFFF3CD"/>
        <bgColor rgb="FFFFF3E0"/>
      </patternFill>
    </fill>
    <fill>
      <patternFill patternType="solid">
        <fgColor rgb="FFE2EFDA"/>
        <bgColor rgb="FFE8F5E9"/>
      </patternFill>
    </fill>
    <fill>
      <patternFill patternType="solid">
        <fgColor rgb="FFEDE7F6"/>
        <bgColor rgb="FFF3E5F5"/>
      </patternFill>
    </fill>
    <fill>
      <patternFill patternType="solid">
        <fgColor rgb="FFF9F9F9"/>
        <bgColor rgb="FFFAFAFA"/>
      </patternFill>
    </fill>
    <fill>
      <patternFill patternType="solid">
        <fgColor rgb="FFFFFDE7"/>
        <bgColor rgb="FFFFF8E1"/>
      </patternFill>
    </fill>
    <fill>
      <patternFill patternType="solid">
        <fgColor rgb="FFF5F5F5"/>
        <bgColor rgb="FFF9F9F9"/>
      </patternFill>
    </fill>
    <fill>
      <patternFill patternType="solid">
        <fgColor rgb="FFF7FBFF"/>
        <bgColor rgb="FFFAFAFA"/>
      </patternFill>
    </fill>
    <fill>
      <patternFill patternType="solid">
        <fgColor rgb="FFFAFAFA"/>
        <bgColor rgb="FFF9F9F9"/>
      </patternFill>
    </fill>
    <fill>
      <patternFill patternType="solid">
        <fgColor rgb="FFFFEBEE"/>
        <bgColor rgb="FFFBE9E7"/>
      </patternFill>
    </fill>
    <fill>
      <patternFill patternType="solid">
        <fgColor rgb="FFE3F2FD"/>
        <bgColor rgb="FFEAF1FB"/>
      </patternFill>
    </fill>
    <fill>
      <patternFill patternType="solid">
        <fgColor rgb="FFFFF8E1"/>
        <bgColor rgb="FFFFF3E0"/>
      </patternFill>
    </fill>
    <fill>
      <patternFill patternType="solid">
        <fgColor rgb="FFFBE9E7"/>
        <bgColor rgb="FFFFEBEE"/>
      </patternFill>
    </fill>
    <fill>
      <patternFill patternType="solid">
        <fgColor rgb="FFFFF3E0"/>
        <bgColor rgb="FFFFF8E1"/>
      </patternFill>
    </fill>
    <fill>
      <patternFill patternType="solid">
        <fgColor rgb="FFE0F2F1"/>
        <bgColor rgb="FFE3F2FD"/>
      </patternFill>
    </fill>
    <fill>
      <patternFill patternType="solid">
        <fgColor rgb="FFF1F8E9"/>
        <bgColor rgb="FFF5F5F5"/>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69">
    <xf numFmtId="0" fontId="0" fillId="0" borderId="0" xfId="0"/>
    <xf numFmtId="0" fontId="14" fillId="2" borderId="0" xfId="0" applyFont="1" applyFill="1" applyAlignment="1">
      <alignment horizontal="center" vertical="center"/>
    </xf>
    <xf numFmtId="0" fontId="13" fillId="8" borderId="0" xfId="0" applyFont="1" applyFill="1" applyAlignment="1">
      <alignment horizontal="center" vertical="center"/>
    </xf>
    <xf numFmtId="0" fontId="6" fillId="12" borderId="0" xfId="0" applyFont="1" applyFill="1" applyAlignment="1">
      <alignment horizontal="center" vertical="center"/>
    </xf>
    <xf numFmtId="0" fontId="6" fillId="11" borderId="0" xfId="0" applyFont="1" applyFill="1" applyAlignment="1">
      <alignment horizontal="center" vertical="center"/>
    </xf>
    <xf numFmtId="0" fontId="6" fillId="10" borderId="0" xfId="0" applyFont="1" applyFill="1" applyAlignment="1">
      <alignment horizontal="center" vertical="center"/>
    </xf>
    <xf numFmtId="0" fontId="6" fillId="9" borderId="0" xfId="0" applyFont="1" applyFill="1" applyAlignment="1">
      <alignment horizontal="center" vertical="center"/>
    </xf>
    <xf numFmtId="0" fontId="6" fillId="8" borderId="0" xfId="0" applyFont="1" applyFill="1" applyAlignment="1">
      <alignment horizontal="center" vertical="center"/>
    </xf>
    <xf numFmtId="0" fontId="6" fillId="7" borderId="0" xfId="0" applyFont="1" applyFill="1" applyAlignment="1">
      <alignment horizontal="center" vertical="center"/>
    </xf>
    <xf numFmtId="0" fontId="6" fillId="4" borderId="0" xfId="0" applyFont="1" applyFill="1" applyAlignment="1">
      <alignment horizontal="center" vertical="center"/>
    </xf>
    <xf numFmtId="0" fontId="6" fillId="2" borderId="0" xfId="0" applyFont="1" applyFill="1" applyAlignment="1">
      <alignment horizontal="center" vertical="center"/>
    </xf>
    <xf numFmtId="0" fontId="3" fillId="4" borderId="1" xfId="0" applyFont="1" applyFill="1" applyBorder="1" applyAlignment="1">
      <alignment horizontal="center" vertical="center"/>
    </xf>
    <xf numFmtId="0" fontId="3" fillId="4"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5" borderId="1" xfId="0" applyFont="1" applyFill="1" applyBorder="1" applyAlignment="1">
      <alignment horizontal="left" vertical="center"/>
    </xf>
    <xf numFmtId="0" fontId="5" fillId="6" borderId="1" xfId="0" applyFont="1" applyFill="1" applyBorder="1" applyAlignment="1">
      <alignment horizontal="left" vertical="center" wrapText="1"/>
    </xf>
    <xf numFmtId="0" fontId="0" fillId="0" borderId="1" xfId="0" applyBorder="1"/>
    <xf numFmtId="0" fontId="7" fillId="5"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8" fillId="19" borderId="1" xfId="0" applyFont="1" applyFill="1" applyBorder="1" applyAlignment="1">
      <alignment horizontal="center" vertical="center"/>
    </xf>
    <xf numFmtId="0" fontId="9" fillId="20" borderId="1" xfId="0" applyFont="1" applyFill="1" applyBorder="1" applyAlignment="1">
      <alignment horizontal="left" vertical="center" wrapText="1"/>
    </xf>
    <xf numFmtId="0" fontId="10" fillId="20"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21" borderId="1" xfId="0" applyFont="1" applyFill="1" applyBorder="1" applyAlignment="1">
      <alignment horizontal="left" vertical="center" wrapText="1"/>
    </xf>
    <xf numFmtId="0" fontId="11" fillId="22" borderId="1" xfId="0" applyFont="1" applyFill="1" applyBorder="1" applyAlignment="1">
      <alignment horizontal="left" vertical="center" wrapText="1"/>
    </xf>
    <xf numFmtId="0" fontId="10" fillId="23" borderId="1" xfId="0" applyFont="1" applyFill="1" applyBorder="1" applyAlignment="1">
      <alignment horizontal="left" vertical="center" wrapText="1"/>
    </xf>
    <xf numFmtId="0" fontId="11" fillId="6" borderId="1" xfId="0" applyFont="1" applyFill="1" applyBorder="1" applyAlignment="1">
      <alignment vertical="center" wrapText="1"/>
    </xf>
    <xf numFmtId="0" fontId="11" fillId="22" borderId="1" xfId="0" applyFont="1" applyFill="1" applyBorder="1" applyAlignment="1">
      <alignment vertical="center" wrapText="1"/>
    </xf>
    <xf numFmtId="0" fontId="16" fillId="25" borderId="1" xfId="0" applyFont="1" applyFill="1" applyBorder="1" applyAlignment="1">
      <alignment horizontal="left" vertical="center" wrapText="1"/>
    </xf>
    <xf numFmtId="0" fontId="16" fillId="15" borderId="1" xfId="0" applyFont="1" applyFill="1" applyBorder="1" applyAlignment="1">
      <alignment horizontal="left" vertical="center" wrapText="1"/>
    </xf>
    <xf numFmtId="0" fontId="16" fillId="14" borderId="1" xfId="0" applyFont="1" applyFill="1" applyBorder="1" applyAlignment="1">
      <alignment horizontal="left" vertical="center" wrapText="1"/>
    </xf>
    <xf numFmtId="0" fontId="16" fillId="26" borderId="1" xfId="0" applyFont="1" applyFill="1" applyBorder="1" applyAlignment="1">
      <alignment horizontal="left" vertical="center" wrapText="1"/>
    </xf>
    <xf numFmtId="0" fontId="16" fillId="27" borderId="1" xfId="0" applyFont="1" applyFill="1" applyBorder="1" applyAlignment="1">
      <alignment horizontal="left" vertical="center" wrapText="1"/>
    </xf>
    <xf numFmtId="0" fontId="16" fillId="28" borderId="1" xfId="0" applyFont="1" applyFill="1" applyBorder="1" applyAlignment="1">
      <alignment horizontal="left" vertical="center" wrapText="1"/>
    </xf>
    <xf numFmtId="0" fontId="16" fillId="29" borderId="1" xfId="0" applyFont="1" applyFill="1" applyBorder="1" applyAlignment="1">
      <alignment horizontal="left" vertical="center" wrapText="1"/>
    </xf>
    <xf numFmtId="0" fontId="16" fillId="30" borderId="1" xfId="0" applyFont="1" applyFill="1" applyBorder="1" applyAlignment="1">
      <alignment horizontal="left" vertical="center" wrapText="1"/>
    </xf>
    <xf numFmtId="0" fontId="16" fillId="18" borderId="1" xfId="0" applyFont="1" applyFill="1" applyBorder="1" applyAlignment="1">
      <alignment horizontal="left" vertical="center" wrapText="1"/>
    </xf>
    <xf numFmtId="0" fontId="16" fillId="20" borderId="1" xfId="0" applyFont="1" applyFill="1" applyBorder="1" applyAlignment="1">
      <alignment horizontal="left" vertical="center" wrapText="1"/>
    </xf>
    <xf numFmtId="0" fontId="20" fillId="3" borderId="1" xfId="0" applyFont="1" applyFill="1" applyBorder="1" applyAlignment="1">
      <alignment horizontal="center" vertical="center"/>
    </xf>
    <xf numFmtId="164" fontId="20" fillId="16" borderId="1" xfId="0" applyNumberFormat="1" applyFont="1" applyFill="1" applyBorder="1" applyAlignment="1">
      <alignment horizontal="center" vertical="center"/>
    </xf>
    <xf numFmtId="3" fontId="20" fillId="3" borderId="1" xfId="0" applyNumberFormat="1" applyFont="1" applyFill="1" applyBorder="1" applyAlignment="1">
      <alignment horizontal="center" vertical="center"/>
    </xf>
    <xf numFmtId="3" fontId="20" fillId="13" borderId="1" xfId="0" applyNumberFormat="1" applyFont="1" applyFill="1" applyBorder="1" applyAlignment="1">
      <alignment horizontal="center" vertical="center"/>
    </xf>
    <xf numFmtId="165" fontId="20" fillId="17" borderId="1" xfId="0" applyNumberFormat="1" applyFont="1" applyFill="1" applyBorder="1" applyAlignment="1">
      <alignment horizontal="center" vertical="center"/>
    </xf>
    <xf numFmtId="0" fontId="20" fillId="17" borderId="1" xfId="0" applyFont="1" applyFill="1" applyBorder="1" applyAlignment="1">
      <alignment horizontal="center" vertical="center"/>
    </xf>
    <xf numFmtId="0" fontId="20" fillId="24" borderId="1" xfId="0" applyFont="1" applyFill="1" applyBorder="1" applyAlignment="1">
      <alignment horizontal="center" vertical="center"/>
    </xf>
    <xf numFmtId="0" fontId="15" fillId="24" borderId="0" xfId="0" applyFont="1" applyFill="1" applyAlignment="1">
      <alignment horizontal="center" vertical="center"/>
    </xf>
    <xf numFmtId="0" fontId="17" fillId="19" borderId="0" xfId="0" applyFont="1" applyFill="1" applyAlignment="1">
      <alignment horizontal="left" vertical="center" wrapText="1"/>
    </xf>
    <xf numFmtId="0" fontId="18" fillId="2" borderId="0" xfId="0" applyFont="1" applyFill="1" applyAlignment="1">
      <alignment horizontal="center" vertical="center"/>
    </xf>
    <xf numFmtId="0" fontId="19" fillId="3" borderId="0" xfId="0" applyFont="1" applyFill="1" applyAlignment="1">
      <alignment horizontal="center" vertical="center"/>
    </xf>
    <xf numFmtId="0" fontId="19" fillId="19" borderId="0" xfId="0" applyFont="1" applyFill="1" applyAlignment="1">
      <alignment horizontal="left" vertical="center" wrapText="1"/>
    </xf>
    <xf numFmtId="0" fontId="21" fillId="2" borderId="0" xfId="0" applyFont="1" applyFill="1" applyAlignment="1">
      <alignment horizontal="center" vertical="center"/>
    </xf>
    <xf numFmtId="0" fontId="22" fillId="6" borderId="1" xfId="0" applyFont="1" applyFill="1" applyBorder="1" applyAlignment="1">
      <alignment horizontal="left" vertical="center" wrapText="1"/>
    </xf>
    <xf numFmtId="0" fontId="23" fillId="5" borderId="1" xfId="0" applyFont="1" applyFill="1" applyBorder="1" applyAlignment="1">
      <alignment horizontal="left" vertical="center"/>
    </xf>
    <xf numFmtId="0" fontId="24" fillId="19" borderId="0" xfId="0" applyFont="1" applyFill="1" applyAlignment="1">
      <alignment horizontal="left" vertical="center" wrapText="1"/>
    </xf>
    <xf numFmtId="0" fontId="25" fillId="2" borderId="0" xfId="0" applyFont="1" applyFill="1" applyAlignment="1">
      <alignment horizontal="center" vertical="center"/>
    </xf>
    <xf numFmtId="0" fontId="26" fillId="4" borderId="0" xfId="0" applyFont="1" applyFill="1" applyAlignment="1">
      <alignment horizontal="center" vertical="center"/>
    </xf>
    <xf numFmtId="0" fontId="26" fillId="9" borderId="0" xfId="0" applyFont="1" applyFill="1" applyAlignment="1">
      <alignment horizontal="center" vertical="center"/>
    </xf>
    <xf numFmtId="0" fontId="26" fillId="10" borderId="0" xfId="0" applyFont="1" applyFill="1" applyAlignment="1">
      <alignment horizontal="center" vertical="center"/>
    </xf>
    <xf numFmtId="0" fontId="26" fillId="7" borderId="0" xfId="0" applyFont="1" applyFill="1" applyAlignment="1">
      <alignment horizontal="center" vertical="center"/>
    </xf>
    <xf numFmtId="0" fontId="26" fillId="11" borderId="0" xfId="0" applyFont="1" applyFill="1" applyAlignment="1">
      <alignment horizontal="center" vertical="center"/>
    </xf>
    <xf numFmtId="0" fontId="27" fillId="2" borderId="0" xfId="0" applyFont="1" applyFill="1" applyAlignment="1">
      <alignment horizontal="center" vertical="center"/>
    </xf>
    <xf numFmtId="0" fontId="28" fillId="24" borderId="0" xfId="0" applyFont="1" applyFill="1" applyAlignment="1">
      <alignment horizontal="center" vertical="center"/>
    </xf>
    <xf numFmtId="0" fontId="29" fillId="8"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3E0"/>
      <rgbColor rgb="FFFF00FF"/>
      <rgbColor rgb="FFFAFAFA"/>
      <rgbColor rgb="FF800000"/>
      <rgbColor rgb="FF008000"/>
      <rgbColor rgb="FF000080"/>
      <rgbColor rgb="FFB8860B"/>
      <rgbColor rgb="FF6A1B9A"/>
      <rgbColor rgb="FF008080"/>
      <rgbColor rgb="FFBDBDBD"/>
      <rgbColor rgb="FF888888"/>
      <rgbColor rgb="FFEAF1FB"/>
      <rgbColor rgb="FF993366"/>
      <rgbColor rgb="FFFFF8E1"/>
      <rgbColor rgb="FFE0F2F1"/>
      <rgbColor rgb="FF660066"/>
      <rgbColor rgb="FFF5F5F5"/>
      <rgbColor rgb="FF1565C0"/>
      <rgbColor rgb="FFD6E4F0"/>
      <rgbColor rgb="FF000080"/>
      <rgbColor rgb="FFFF00FF"/>
      <rgbColor rgb="FFFFFDE7"/>
      <rgbColor rgb="FF00FFFF"/>
      <rgbColor rgb="FF800080"/>
      <rgbColor rgb="FF800000"/>
      <rgbColor rgb="FF008080"/>
      <rgbColor rgb="FF0000FF"/>
      <rgbColor rgb="FF00CCFF"/>
      <rgbColor rgb="FFE3F2FD"/>
      <rgbColor rgb="FFE2EFDA"/>
      <rgbColor rgb="FFFFF3CD"/>
      <rgbColor rgb="FFDBEAFE"/>
      <rgbColor rgb="FFF3E5F5"/>
      <rgbColor rgb="FFEDE7F6"/>
      <rgbColor rgb="FFFBE9E7"/>
      <rgbColor rgb="FF2E75B6"/>
      <rgbColor rgb="FFF7FBFF"/>
      <rgbColor rgb="FFF1F8E9"/>
      <rgbColor rgb="FFFFEBEE"/>
      <rgbColor rgb="FFF9F9F9"/>
      <rgbColor rgb="FFE65100"/>
      <rgbColor rgb="FF555555"/>
      <rgbColor rgb="FFE8F5E9"/>
      <rgbColor rgb="FF1F3864"/>
      <rgbColor rgb="FF2E7D32"/>
      <rgbColor rgb="FF003300"/>
      <rgbColor rgb="FF333300"/>
      <rgbColor rgb="FFB71C1C"/>
      <rgbColor rgb="FF993366"/>
      <rgbColor rgb="FF33339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2"/>
  <sheetViews>
    <sheetView showGridLines="0" tabSelected="1" zoomScaleNormal="100" workbookViewId="0">
      <selection activeCell="F17" sqref="F17"/>
    </sheetView>
  </sheetViews>
  <sheetFormatPr baseColWidth="10" defaultColWidth="8.6640625" defaultRowHeight="15" customHeight="1" x14ac:dyDescent="0.2"/>
  <cols>
    <col min="1" max="1" width="3" customWidth="1"/>
    <col min="2" max="2" width="28" customWidth="1"/>
    <col min="3" max="3" width="70" customWidth="1"/>
    <col min="4" max="4" width="3" customWidth="1"/>
  </cols>
  <sheetData>
    <row r="1" spans="2:3" ht="36" customHeight="1" x14ac:dyDescent="0.2">
      <c r="B1" s="56" t="s">
        <v>265</v>
      </c>
      <c r="C1" s="14"/>
    </row>
    <row r="2" spans="2:3" ht="21.75" customHeight="1" x14ac:dyDescent="0.2">
      <c r="B2" s="13" t="s">
        <v>0</v>
      </c>
      <c r="C2" s="13"/>
    </row>
    <row r="3" spans="2:3" ht="7.5" customHeight="1" x14ac:dyDescent="0.2"/>
    <row r="4" spans="2:3" ht="21.75" customHeight="1" x14ac:dyDescent="0.2">
      <c r="B4" s="12" t="s">
        <v>1</v>
      </c>
      <c r="C4" s="12"/>
    </row>
    <row r="5" spans="2:3" ht="48" customHeight="1" x14ac:dyDescent="0.2">
      <c r="B5" s="15" t="s">
        <v>2</v>
      </c>
      <c r="C5" s="57" t="s">
        <v>3</v>
      </c>
    </row>
    <row r="6" spans="2:3" ht="48" customHeight="1" x14ac:dyDescent="0.2">
      <c r="B6" s="15" t="s">
        <v>4</v>
      </c>
      <c r="C6" s="16" t="s">
        <v>5</v>
      </c>
    </row>
    <row r="7" spans="2:3" ht="48" customHeight="1" x14ac:dyDescent="0.2">
      <c r="B7" s="15" t="s">
        <v>6</v>
      </c>
      <c r="C7" s="16" t="s">
        <v>7</v>
      </c>
    </row>
    <row r="8" spans="2:3" ht="7.5" customHeight="1" x14ac:dyDescent="0.2">
      <c r="B8" s="17"/>
      <c r="C8" s="17"/>
    </row>
    <row r="9" spans="2:3" ht="21.75" customHeight="1" x14ac:dyDescent="0.2">
      <c r="B9" s="11" t="s">
        <v>8</v>
      </c>
      <c r="C9" s="11"/>
    </row>
    <row r="10" spans="2:3" ht="36" customHeight="1" x14ac:dyDescent="0.2">
      <c r="B10" s="58" t="s">
        <v>266</v>
      </c>
      <c r="C10" s="16" t="s">
        <v>9</v>
      </c>
    </row>
    <row r="11" spans="2:3" ht="36" customHeight="1" x14ac:dyDescent="0.2">
      <c r="B11" s="58" t="s">
        <v>267</v>
      </c>
      <c r="C11" s="16" t="s">
        <v>10</v>
      </c>
    </row>
    <row r="12" spans="2:3" ht="36" customHeight="1" x14ac:dyDescent="0.2">
      <c r="B12" s="58" t="s">
        <v>268</v>
      </c>
      <c r="C12" s="16" t="s">
        <v>11</v>
      </c>
    </row>
    <row r="13" spans="2:3" ht="36" customHeight="1" x14ac:dyDescent="0.2">
      <c r="B13" s="58" t="s">
        <v>269</v>
      </c>
      <c r="C13" s="16" t="s">
        <v>12</v>
      </c>
    </row>
    <row r="14" spans="2:3" ht="36" customHeight="1" x14ac:dyDescent="0.2">
      <c r="B14" s="58" t="s">
        <v>270</v>
      </c>
      <c r="C14" s="16" t="s">
        <v>13</v>
      </c>
    </row>
    <row r="15" spans="2:3" ht="7.5" customHeight="1" x14ac:dyDescent="0.2">
      <c r="B15" s="17"/>
      <c r="C15" s="17"/>
    </row>
    <row r="16" spans="2:3" ht="21.75" customHeight="1" x14ac:dyDescent="0.2">
      <c r="B16" s="11" t="s">
        <v>14</v>
      </c>
      <c r="C16" s="11"/>
    </row>
    <row r="17" spans="2:3" ht="51.75" customHeight="1" x14ac:dyDescent="0.2">
      <c r="B17" s="15" t="s">
        <v>15</v>
      </c>
      <c r="C17" s="16" t="s">
        <v>16</v>
      </c>
    </row>
    <row r="18" spans="2:3" ht="51.75" customHeight="1" x14ac:dyDescent="0.2">
      <c r="B18" s="15" t="s">
        <v>17</v>
      </c>
      <c r="C18" s="16" t="s">
        <v>18</v>
      </c>
    </row>
    <row r="19" spans="2:3" ht="51.75" customHeight="1" x14ac:dyDescent="0.2">
      <c r="B19" s="15" t="s">
        <v>19</v>
      </c>
      <c r="C19" s="16" t="s">
        <v>20</v>
      </c>
    </row>
    <row r="20" spans="2:3" ht="51.75" customHeight="1" x14ac:dyDescent="0.2">
      <c r="B20" s="15" t="s">
        <v>21</v>
      </c>
      <c r="C20" s="16" t="s">
        <v>22</v>
      </c>
    </row>
    <row r="21" spans="2:3" ht="51.75" customHeight="1" x14ac:dyDescent="0.2">
      <c r="B21" s="15" t="s">
        <v>23</v>
      </c>
      <c r="C21" s="16" t="s">
        <v>24</v>
      </c>
    </row>
    <row r="22" spans="2:3" ht="51.75" customHeight="1" x14ac:dyDescent="0.2">
      <c r="B22" s="15" t="s">
        <v>25</v>
      </c>
      <c r="C22" s="16" t="s">
        <v>26</v>
      </c>
    </row>
    <row r="23" spans="2:3" ht="7.5" customHeight="1" x14ac:dyDescent="0.2">
      <c r="B23" s="17"/>
      <c r="C23" s="17"/>
    </row>
    <row r="24" spans="2:3" ht="21.75" customHeight="1" x14ac:dyDescent="0.2">
      <c r="B24" s="11" t="s">
        <v>27</v>
      </c>
      <c r="C24" s="11"/>
    </row>
    <row r="25" spans="2:3" ht="51.75" customHeight="1" x14ac:dyDescent="0.2">
      <c r="B25" s="15" t="s">
        <v>28</v>
      </c>
      <c r="C25" s="16" t="s">
        <v>29</v>
      </c>
    </row>
    <row r="26" spans="2:3" ht="51.75" customHeight="1" x14ac:dyDescent="0.2">
      <c r="B26" s="15" t="s">
        <v>30</v>
      </c>
      <c r="C26" s="16" t="s">
        <v>31</v>
      </c>
    </row>
    <row r="27" spans="2:3" ht="51.75" customHeight="1" x14ac:dyDescent="0.2">
      <c r="B27" s="15" t="s">
        <v>32</v>
      </c>
      <c r="C27" s="16" t="s">
        <v>33</v>
      </c>
    </row>
    <row r="28" spans="2:3" ht="51.75" customHeight="1" x14ac:dyDescent="0.2">
      <c r="B28" s="15" t="s">
        <v>34</v>
      </c>
      <c r="C28" s="16" t="s">
        <v>35</v>
      </c>
    </row>
    <row r="29" spans="2:3" ht="51.75" customHeight="1" x14ac:dyDescent="0.2">
      <c r="B29" s="15" t="s">
        <v>36</v>
      </c>
      <c r="C29" s="16" t="s">
        <v>37</v>
      </c>
    </row>
    <row r="30" spans="2:3" ht="51.75" customHeight="1" x14ac:dyDescent="0.2">
      <c r="B30" s="15" t="s">
        <v>38</v>
      </c>
      <c r="C30" s="16" t="s">
        <v>39</v>
      </c>
    </row>
    <row r="31" spans="2:3" ht="51.75" customHeight="1" x14ac:dyDescent="0.2">
      <c r="B31" s="15" t="s">
        <v>40</v>
      </c>
      <c r="C31" s="16" t="s">
        <v>41</v>
      </c>
    </row>
    <row r="32" spans="2:3" ht="51.75" customHeight="1" x14ac:dyDescent="0.2">
      <c r="B32" s="15" t="s">
        <v>42</v>
      </c>
      <c r="C32" s="16" t="s">
        <v>43</v>
      </c>
    </row>
  </sheetData>
  <mergeCells count="6">
    <mergeCell ref="B24:C24"/>
    <mergeCell ref="B1:C1"/>
    <mergeCell ref="B2:C2"/>
    <mergeCell ref="B4:C4"/>
    <mergeCell ref="B9:C9"/>
    <mergeCell ref="B16:C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54"/>
  <sheetViews>
    <sheetView showGridLines="0" zoomScaleNormal="100" workbookViewId="0">
      <pane ySplit="3" topLeftCell="A4" activePane="bottomLeft" state="frozen"/>
      <selection pane="bottomLeft" sqref="A1:F1"/>
    </sheetView>
  </sheetViews>
  <sheetFormatPr baseColWidth="10" defaultColWidth="8.6640625" defaultRowHeight="15" customHeight="1" x14ac:dyDescent="0.2"/>
  <cols>
    <col min="1" max="1" width="10" customWidth="1"/>
    <col min="2" max="2" width="18" customWidth="1"/>
    <col min="3" max="3" width="10" customWidth="1"/>
    <col min="4" max="4" width="16" customWidth="1"/>
    <col min="5" max="5" width="30" customWidth="1"/>
    <col min="6" max="6" width="10" customWidth="1"/>
    <col min="7" max="7" width="20" customWidth="1"/>
    <col min="8" max="8" width="14" customWidth="1"/>
    <col min="9" max="9" width="13" customWidth="1"/>
    <col min="10" max="11" width="16" customWidth="1"/>
    <col min="12" max="12" width="12" customWidth="1"/>
    <col min="13" max="14" width="9" customWidth="1"/>
    <col min="15" max="17" width="12" customWidth="1"/>
    <col min="18" max="18" width="10" customWidth="1"/>
    <col min="19" max="21" width="14" customWidth="1"/>
    <col min="22" max="22" width="28" customWidth="1"/>
    <col min="23" max="23" width="30" customWidth="1"/>
    <col min="24" max="26" width="12" customWidth="1"/>
    <col min="27" max="27" width="10" customWidth="1"/>
    <col min="28" max="28" width="14" customWidth="1"/>
    <col min="29" max="29" width="40" customWidth="1"/>
    <col min="30" max="30" width="22" customWidth="1"/>
    <col min="31" max="31" width="25" customWidth="1"/>
    <col min="32" max="33" width="14" customWidth="1"/>
    <col min="34" max="35" width="28" customWidth="1"/>
    <col min="36" max="36" width="16" customWidth="1"/>
    <col min="37" max="38" width="14" customWidth="1"/>
    <col min="39" max="39" width="30" customWidth="1"/>
    <col min="40" max="40" width="20" customWidth="1"/>
    <col min="41" max="41" width="25" customWidth="1"/>
  </cols>
  <sheetData>
    <row r="1" spans="1:41" ht="21.75" customHeight="1" x14ac:dyDescent="0.2">
      <c r="A1" s="10" t="s">
        <v>44</v>
      </c>
      <c r="B1" s="10"/>
      <c r="C1" s="10"/>
      <c r="D1" s="10"/>
      <c r="E1" s="10"/>
      <c r="F1" s="10"/>
      <c r="G1" s="9" t="s">
        <v>45</v>
      </c>
      <c r="H1" s="9"/>
      <c r="I1" s="9"/>
      <c r="J1" s="9"/>
      <c r="K1" s="9"/>
      <c r="L1" s="8" t="s">
        <v>46</v>
      </c>
      <c r="M1" s="8"/>
      <c r="N1" s="8"/>
      <c r="O1" s="8"/>
      <c r="P1" s="8"/>
      <c r="Q1" s="8"/>
      <c r="R1" s="8"/>
      <c r="S1" s="8"/>
      <c r="T1" s="7" t="s">
        <v>47</v>
      </c>
      <c r="U1" s="7"/>
      <c r="V1" s="7"/>
      <c r="W1" s="7"/>
      <c r="X1" s="6" t="s">
        <v>48</v>
      </c>
      <c r="Y1" s="6"/>
      <c r="Z1" s="6"/>
      <c r="AA1" s="6"/>
      <c r="AB1" s="6"/>
      <c r="AC1" s="5" t="s">
        <v>49</v>
      </c>
      <c r="AD1" s="5"/>
      <c r="AE1" s="5"/>
      <c r="AF1" s="5"/>
      <c r="AG1" s="5"/>
      <c r="AH1" s="5"/>
      <c r="AI1" s="5"/>
      <c r="AJ1" s="4" t="s">
        <v>50</v>
      </c>
      <c r="AK1" s="4"/>
      <c r="AL1" s="4"/>
      <c r="AM1" s="4"/>
      <c r="AN1" s="3" t="s">
        <v>51</v>
      </c>
      <c r="AO1" s="3"/>
    </row>
    <row r="2" spans="1:41" ht="36" customHeight="1" x14ac:dyDescent="0.2">
      <c r="A2" s="18" t="s">
        <v>52</v>
      </c>
      <c r="B2" s="18" t="s">
        <v>53</v>
      </c>
      <c r="C2" s="18" t="s">
        <v>54</v>
      </c>
      <c r="D2" s="18" t="s">
        <v>55</v>
      </c>
      <c r="E2" s="18" t="s">
        <v>56</v>
      </c>
      <c r="F2" s="18" t="s">
        <v>57</v>
      </c>
      <c r="G2" s="19" t="s">
        <v>58</v>
      </c>
      <c r="H2" s="19" t="s">
        <v>59</v>
      </c>
      <c r="I2" s="19" t="s">
        <v>60</v>
      </c>
      <c r="J2" s="19" t="s">
        <v>61</v>
      </c>
      <c r="K2" s="19" t="s">
        <v>62</v>
      </c>
      <c r="L2" s="20" t="s">
        <v>28</v>
      </c>
      <c r="M2" s="20" t="s">
        <v>63</v>
      </c>
      <c r="N2" s="20" t="s">
        <v>32</v>
      </c>
      <c r="O2" s="20" t="s">
        <v>64</v>
      </c>
      <c r="P2" s="20" t="s">
        <v>65</v>
      </c>
      <c r="Q2" s="20" t="s">
        <v>66</v>
      </c>
      <c r="R2" s="20" t="s">
        <v>34</v>
      </c>
      <c r="S2" s="20" t="s">
        <v>67</v>
      </c>
      <c r="T2" s="21" t="s">
        <v>68</v>
      </c>
      <c r="U2" s="21" t="s">
        <v>69</v>
      </c>
      <c r="V2" s="21" t="s">
        <v>70</v>
      </c>
      <c r="W2" s="21" t="s">
        <v>71</v>
      </c>
      <c r="X2" s="22" t="s">
        <v>72</v>
      </c>
      <c r="Y2" s="22" t="s">
        <v>73</v>
      </c>
      <c r="Z2" s="22" t="s">
        <v>74</v>
      </c>
      <c r="AA2" s="22" t="s">
        <v>75</v>
      </c>
      <c r="AB2" s="22" t="s">
        <v>76</v>
      </c>
      <c r="AC2" s="23" t="s">
        <v>77</v>
      </c>
      <c r="AD2" s="23" t="s">
        <v>78</v>
      </c>
      <c r="AE2" s="23" t="s">
        <v>79</v>
      </c>
      <c r="AF2" s="23" t="s">
        <v>80</v>
      </c>
      <c r="AG2" s="23" t="s">
        <v>81</v>
      </c>
      <c r="AH2" s="23" t="s">
        <v>82</v>
      </c>
      <c r="AI2" s="23" t="s">
        <v>83</v>
      </c>
      <c r="AJ2" s="24" t="s">
        <v>84</v>
      </c>
      <c r="AK2" s="24" t="s">
        <v>85</v>
      </c>
      <c r="AL2" s="24" t="s">
        <v>86</v>
      </c>
      <c r="AM2" s="24" t="s">
        <v>87</v>
      </c>
      <c r="AN2" s="18" t="s">
        <v>88</v>
      </c>
      <c r="AO2" s="18" t="s">
        <v>89</v>
      </c>
    </row>
    <row r="3" spans="1:41" ht="15.75" customHeight="1" x14ac:dyDescent="0.2">
      <c r="A3" s="25" t="s">
        <v>90</v>
      </c>
      <c r="B3" s="25" t="s">
        <v>91</v>
      </c>
      <c r="D3" s="25" t="s">
        <v>92</v>
      </c>
      <c r="G3" s="25" t="s">
        <v>93</v>
      </c>
      <c r="H3" s="25" t="s">
        <v>94</v>
      </c>
      <c r="I3" s="25" t="s">
        <v>95</v>
      </c>
      <c r="L3" s="25" t="s">
        <v>96</v>
      </c>
      <c r="M3" s="25" t="s">
        <v>97</v>
      </c>
      <c r="N3" s="25" t="s">
        <v>98</v>
      </c>
      <c r="O3" s="25" t="s">
        <v>99</v>
      </c>
      <c r="X3" s="25" t="s">
        <v>100</v>
      </c>
      <c r="Y3" s="25" t="s">
        <v>100</v>
      </c>
      <c r="Z3" s="25" t="s">
        <v>101</v>
      </c>
      <c r="AB3" s="25" t="s">
        <v>102</v>
      </c>
      <c r="AG3" s="25" t="s">
        <v>103</v>
      </c>
      <c r="AH3" s="25" t="s">
        <v>104</v>
      </c>
      <c r="AJ3" s="25" t="s">
        <v>105</v>
      </c>
      <c r="AL3" s="25" t="s">
        <v>106</v>
      </c>
    </row>
    <row r="4" spans="1:41" ht="39.75" customHeight="1" x14ac:dyDescent="0.2">
      <c r="A4" s="26" t="s">
        <v>107</v>
      </c>
      <c r="B4" s="27" t="s">
        <v>108</v>
      </c>
      <c r="C4" s="27" t="s">
        <v>109</v>
      </c>
      <c r="D4" s="27" t="s">
        <v>110</v>
      </c>
      <c r="E4" s="27" t="s">
        <v>111</v>
      </c>
      <c r="F4" s="27" t="s">
        <v>112</v>
      </c>
      <c r="G4" s="27" t="s">
        <v>113</v>
      </c>
      <c r="H4" s="27" t="s">
        <v>114</v>
      </c>
      <c r="I4" s="27" t="s">
        <v>115</v>
      </c>
      <c r="J4" s="27" t="s">
        <v>116</v>
      </c>
      <c r="K4" s="27" t="s">
        <v>117</v>
      </c>
      <c r="L4" s="27" t="s">
        <v>118</v>
      </c>
      <c r="M4" s="27" t="s">
        <v>119</v>
      </c>
      <c r="N4" s="27"/>
      <c r="O4" s="27" t="s">
        <v>120</v>
      </c>
      <c r="P4" s="27" t="s">
        <v>121</v>
      </c>
      <c r="Q4" s="27" t="s">
        <v>121</v>
      </c>
      <c r="R4" s="27" t="s">
        <v>122</v>
      </c>
      <c r="S4" s="27"/>
      <c r="T4" s="27" t="s">
        <v>123</v>
      </c>
      <c r="U4" s="27" t="s">
        <v>124</v>
      </c>
      <c r="V4" s="27" t="s">
        <v>125</v>
      </c>
      <c r="W4" s="27" t="s">
        <v>126</v>
      </c>
      <c r="X4" s="27" t="s">
        <v>127</v>
      </c>
      <c r="Y4" s="27" t="s">
        <v>128</v>
      </c>
      <c r="Z4" s="27">
        <f>X4+Y4</f>
        <v>507</v>
      </c>
      <c r="AA4" s="27" t="s">
        <v>129</v>
      </c>
      <c r="AB4" s="27" t="str">
        <f>AA4</f>
        <v>0.0032</v>
      </c>
      <c r="AC4" s="27" t="s">
        <v>130</v>
      </c>
      <c r="AD4" s="27"/>
      <c r="AE4" s="27" t="s">
        <v>131</v>
      </c>
      <c r="AF4" s="27" t="s">
        <v>132</v>
      </c>
      <c r="AG4" s="27" t="s">
        <v>133</v>
      </c>
      <c r="AH4" s="27" t="s">
        <v>134</v>
      </c>
      <c r="AI4" s="27" t="s">
        <v>135</v>
      </c>
      <c r="AJ4" s="27" t="s">
        <v>136</v>
      </c>
      <c r="AK4" s="27" t="s">
        <v>137</v>
      </c>
      <c r="AL4" s="27" t="s">
        <v>136</v>
      </c>
      <c r="AM4" s="27" t="s">
        <v>138</v>
      </c>
      <c r="AN4" s="27" t="s">
        <v>139</v>
      </c>
      <c r="AO4" s="27" t="s">
        <v>140</v>
      </c>
    </row>
    <row r="5" spans="1:41" ht="24" customHeight="1" x14ac:dyDescent="0.2">
      <c r="A5" s="28"/>
      <c r="B5" s="28"/>
      <c r="C5" s="28"/>
      <c r="D5" s="28"/>
      <c r="E5" s="28"/>
      <c r="F5" s="28"/>
      <c r="G5" s="28"/>
      <c r="H5" s="28"/>
      <c r="I5" s="28"/>
      <c r="J5" s="28"/>
      <c r="K5" s="28"/>
      <c r="L5" s="28"/>
      <c r="M5" s="28"/>
      <c r="N5" s="28"/>
      <c r="O5" s="28"/>
      <c r="P5" s="28"/>
      <c r="Q5" s="28"/>
      <c r="R5" s="28"/>
      <c r="S5" s="28"/>
      <c r="T5" s="28"/>
      <c r="U5" s="28"/>
      <c r="V5" s="28"/>
      <c r="W5" s="28"/>
      <c r="X5" s="28"/>
      <c r="Y5" s="28"/>
      <c r="Z5" s="29" t="str">
        <f t="shared" ref="Z5:Z36" si="0">IF(AND(X5&lt;&gt;"",Y5&lt;&gt;""),X5+Y5,"")</f>
        <v/>
      </c>
      <c r="AA5" s="28"/>
      <c r="AB5" s="29" t="str">
        <f>IF(AA5&lt;&gt;"",AA5,"")</f>
        <v/>
      </c>
      <c r="AC5" s="28"/>
      <c r="AD5" s="28"/>
      <c r="AE5" s="28"/>
      <c r="AF5" s="28"/>
      <c r="AG5" s="28"/>
      <c r="AH5" s="28"/>
      <c r="AI5" s="28"/>
      <c r="AJ5" s="28"/>
      <c r="AK5" s="28"/>
      <c r="AL5" s="28"/>
      <c r="AM5" s="28"/>
      <c r="AN5" s="28"/>
      <c r="AO5" s="28"/>
    </row>
    <row r="6" spans="1:41" ht="24" customHeight="1" x14ac:dyDescent="0.2">
      <c r="A6" s="30"/>
      <c r="B6" s="30"/>
      <c r="C6" s="30"/>
      <c r="D6" s="30"/>
      <c r="E6" s="30"/>
      <c r="F6" s="30"/>
      <c r="G6" s="30"/>
      <c r="H6" s="30"/>
      <c r="I6" s="30"/>
      <c r="J6" s="30"/>
      <c r="K6" s="30"/>
      <c r="L6" s="30"/>
      <c r="M6" s="30"/>
      <c r="N6" s="30"/>
      <c r="O6" s="30"/>
      <c r="P6" s="30"/>
      <c r="Q6" s="30"/>
      <c r="R6" s="30"/>
      <c r="S6" s="30"/>
      <c r="T6" s="30"/>
      <c r="U6" s="30"/>
      <c r="V6" s="30"/>
      <c r="W6" s="30"/>
      <c r="X6" s="30"/>
      <c r="Y6" s="30"/>
      <c r="Z6" s="29" t="str">
        <f t="shared" si="0"/>
        <v/>
      </c>
      <c r="AA6" s="30"/>
      <c r="AB6" s="29" t="str">
        <f t="shared" ref="AB6:AB37" si="1">IF(AA6&lt;&gt;"",AA6+AB5,"")</f>
        <v/>
      </c>
      <c r="AC6" s="30"/>
      <c r="AD6" s="30"/>
      <c r="AE6" s="30"/>
      <c r="AF6" s="30"/>
      <c r="AG6" s="30"/>
      <c r="AH6" s="30"/>
      <c r="AI6" s="30"/>
      <c r="AJ6" s="30"/>
      <c r="AK6" s="30"/>
      <c r="AL6" s="30"/>
      <c r="AM6" s="30"/>
      <c r="AN6" s="30"/>
      <c r="AO6" s="30"/>
    </row>
    <row r="7" spans="1:41" ht="24" customHeight="1" x14ac:dyDescent="0.2">
      <c r="A7" s="28"/>
      <c r="B7" s="28"/>
      <c r="C7" s="28"/>
      <c r="D7" s="28"/>
      <c r="E7" s="28"/>
      <c r="F7" s="28"/>
      <c r="G7" s="28"/>
      <c r="H7" s="28"/>
      <c r="I7" s="28"/>
      <c r="J7" s="28"/>
      <c r="K7" s="28"/>
      <c r="L7" s="28"/>
      <c r="M7" s="28"/>
      <c r="N7" s="28"/>
      <c r="O7" s="28"/>
      <c r="P7" s="28"/>
      <c r="Q7" s="28"/>
      <c r="R7" s="28"/>
      <c r="S7" s="28"/>
      <c r="T7" s="28"/>
      <c r="U7" s="28"/>
      <c r="V7" s="28"/>
      <c r="W7" s="28"/>
      <c r="X7" s="28"/>
      <c r="Y7" s="28"/>
      <c r="Z7" s="29" t="str">
        <f t="shared" si="0"/>
        <v/>
      </c>
      <c r="AA7" s="28"/>
      <c r="AB7" s="29" t="str">
        <f t="shared" si="1"/>
        <v/>
      </c>
      <c r="AC7" s="28"/>
      <c r="AD7" s="28"/>
      <c r="AE7" s="28"/>
      <c r="AF7" s="28"/>
      <c r="AG7" s="28"/>
      <c r="AH7" s="28"/>
      <c r="AI7" s="28"/>
      <c r="AJ7" s="28"/>
      <c r="AK7" s="28"/>
      <c r="AL7" s="28"/>
      <c r="AM7" s="28"/>
      <c r="AN7" s="28"/>
      <c r="AO7" s="28"/>
    </row>
    <row r="8" spans="1:41" ht="24" customHeight="1" x14ac:dyDescent="0.2">
      <c r="A8" s="30"/>
      <c r="B8" s="30"/>
      <c r="C8" s="30"/>
      <c r="D8" s="30"/>
      <c r="E8" s="30"/>
      <c r="F8" s="30"/>
      <c r="G8" s="30"/>
      <c r="H8" s="30"/>
      <c r="I8" s="30"/>
      <c r="J8" s="30"/>
      <c r="K8" s="30"/>
      <c r="L8" s="30"/>
      <c r="M8" s="30"/>
      <c r="N8" s="30"/>
      <c r="O8" s="30"/>
      <c r="P8" s="30"/>
      <c r="Q8" s="30"/>
      <c r="R8" s="30"/>
      <c r="S8" s="30"/>
      <c r="T8" s="30"/>
      <c r="U8" s="30"/>
      <c r="V8" s="30"/>
      <c r="W8" s="30"/>
      <c r="X8" s="30"/>
      <c r="Y8" s="30"/>
      <c r="Z8" s="29" t="str">
        <f t="shared" si="0"/>
        <v/>
      </c>
      <c r="AA8" s="30"/>
      <c r="AB8" s="29" t="str">
        <f t="shared" si="1"/>
        <v/>
      </c>
      <c r="AC8" s="30"/>
      <c r="AD8" s="30"/>
      <c r="AE8" s="30"/>
      <c r="AF8" s="30"/>
      <c r="AG8" s="30"/>
      <c r="AH8" s="30"/>
      <c r="AI8" s="30"/>
      <c r="AJ8" s="30"/>
      <c r="AK8" s="30"/>
      <c r="AL8" s="30"/>
      <c r="AM8" s="30"/>
      <c r="AN8" s="30"/>
      <c r="AO8" s="30"/>
    </row>
    <row r="9" spans="1:41" ht="24" customHeight="1" x14ac:dyDescent="0.2">
      <c r="A9" s="28"/>
      <c r="B9" s="28"/>
      <c r="C9" s="28"/>
      <c r="D9" s="28"/>
      <c r="E9" s="28"/>
      <c r="F9" s="28"/>
      <c r="G9" s="28"/>
      <c r="H9" s="28"/>
      <c r="I9" s="28"/>
      <c r="J9" s="28"/>
      <c r="K9" s="28"/>
      <c r="L9" s="28"/>
      <c r="M9" s="28"/>
      <c r="N9" s="28"/>
      <c r="O9" s="28"/>
      <c r="P9" s="28"/>
      <c r="Q9" s="28"/>
      <c r="R9" s="28"/>
      <c r="S9" s="28"/>
      <c r="T9" s="28"/>
      <c r="U9" s="28"/>
      <c r="V9" s="28"/>
      <c r="W9" s="28"/>
      <c r="X9" s="28"/>
      <c r="Y9" s="28"/>
      <c r="Z9" s="29" t="str">
        <f t="shared" si="0"/>
        <v/>
      </c>
      <c r="AA9" s="28"/>
      <c r="AB9" s="29" t="str">
        <f t="shared" si="1"/>
        <v/>
      </c>
      <c r="AC9" s="28"/>
      <c r="AD9" s="28"/>
      <c r="AE9" s="28"/>
      <c r="AF9" s="28"/>
      <c r="AG9" s="28"/>
      <c r="AH9" s="28"/>
      <c r="AI9" s="28"/>
      <c r="AJ9" s="28"/>
      <c r="AK9" s="28"/>
      <c r="AL9" s="28"/>
      <c r="AM9" s="28"/>
      <c r="AN9" s="28"/>
      <c r="AO9" s="28"/>
    </row>
    <row r="10" spans="1:41" ht="24" customHeight="1" x14ac:dyDescent="0.2">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29" t="str">
        <f t="shared" si="0"/>
        <v/>
      </c>
      <c r="AA10" s="30"/>
      <c r="AB10" s="29" t="str">
        <f t="shared" si="1"/>
        <v/>
      </c>
      <c r="AC10" s="30"/>
      <c r="AD10" s="30"/>
      <c r="AE10" s="30"/>
      <c r="AF10" s="30"/>
      <c r="AG10" s="30"/>
      <c r="AH10" s="30"/>
      <c r="AI10" s="30"/>
      <c r="AJ10" s="30"/>
      <c r="AK10" s="30"/>
      <c r="AL10" s="30"/>
      <c r="AM10" s="30"/>
      <c r="AN10" s="30"/>
      <c r="AO10" s="30"/>
    </row>
    <row r="11" spans="1:41" ht="24" customHeight="1" x14ac:dyDescent="0.2">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9" t="str">
        <f t="shared" si="0"/>
        <v/>
      </c>
      <c r="AA11" s="28"/>
      <c r="AB11" s="29" t="str">
        <f t="shared" si="1"/>
        <v/>
      </c>
      <c r="AC11" s="28"/>
      <c r="AD11" s="28"/>
      <c r="AE11" s="28"/>
      <c r="AF11" s="28"/>
      <c r="AG11" s="28"/>
      <c r="AH11" s="28"/>
      <c r="AI11" s="28"/>
      <c r="AJ11" s="28"/>
      <c r="AK11" s="28"/>
      <c r="AL11" s="28"/>
      <c r="AM11" s="28"/>
      <c r="AN11" s="28"/>
      <c r="AO11" s="28"/>
    </row>
    <row r="12" spans="1:41" ht="24" customHeight="1" x14ac:dyDescent="0.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29" t="str">
        <f t="shared" si="0"/>
        <v/>
      </c>
      <c r="AA12" s="30"/>
      <c r="AB12" s="29" t="str">
        <f t="shared" si="1"/>
        <v/>
      </c>
      <c r="AC12" s="30"/>
      <c r="AD12" s="30"/>
      <c r="AE12" s="30"/>
      <c r="AF12" s="30"/>
      <c r="AG12" s="30"/>
      <c r="AH12" s="30"/>
      <c r="AI12" s="30"/>
      <c r="AJ12" s="30"/>
      <c r="AK12" s="30"/>
      <c r="AL12" s="30"/>
      <c r="AM12" s="30"/>
      <c r="AN12" s="30"/>
      <c r="AO12" s="30"/>
    </row>
    <row r="13" spans="1:41" ht="24" customHeight="1" x14ac:dyDescent="0.2">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9" t="str">
        <f t="shared" si="0"/>
        <v/>
      </c>
      <c r="AA13" s="28"/>
      <c r="AB13" s="29" t="str">
        <f t="shared" si="1"/>
        <v/>
      </c>
      <c r="AC13" s="28"/>
      <c r="AD13" s="28"/>
      <c r="AE13" s="28"/>
      <c r="AF13" s="28"/>
      <c r="AG13" s="28"/>
      <c r="AH13" s="28"/>
      <c r="AI13" s="28"/>
      <c r="AJ13" s="28"/>
      <c r="AK13" s="28"/>
      <c r="AL13" s="28"/>
      <c r="AM13" s="28"/>
      <c r="AN13" s="28"/>
      <c r="AO13" s="28"/>
    </row>
    <row r="14" spans="1:41" ht="24" customHeight="1" x14ac:dyDescent="0.2">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29" t="str">
        <f t="shared" si="0"/>
        <v/>
      </c>
      <c r="AA14" s="30"/>
      <c r="AB14" s="29" t="str">
        <f t="shared" si="1"/>
        <v/>
      </c>
      <c r="AC14" s="30"/>
      <c r="AD14" s="30"/>
      <c r="AE14" s="30"/>
      <c r="AF14" s="30"/>
      <c r="AG14" s="30"/>
      <c r="AH14" s="30"/>
      <c r="AI14" s="30"/>
      <c r="AJ14" s="30"/>
      <c r="AK14" s="30"/>
      <c r="AL14" s="30"/>
      <c r="AM14" s="30"/>
      <c r="AN14" s="30"/>
      <c r="AO14" s="30"/>
    </row>
    <row r="15" spans="1:41" ht="24" customHeight="1" x14ac:dyDescent="0.2">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9" t="str">
        <f t="shared" si="0"/>
        <v/>
      </c>
      <c r="AA15" s="28"/>
      <c r="AB15" s="29" t="str">
        <f t="shared" si="1"/>
        <v/>
      </c>
      <c r="AC15" s="28"/>
      <c r="AD15" s="28"/>
      <c r="AE15" s="28"/>
      <c r="AF15" s="28"/>
      <c r="AG15" s="28"/>
      <c r="AH15" s="28"/>
      <c r="AI15" s="28"/>
      <c r="AJ15" s="28"/>
      <c r="AK15" s="28"/>
      <c r="AL15" s="28"/>
      <c r="AM15" s="28"/>
      <c r="AN15" s="28"/>
      <c r="AO15" s="28"/>
    </row>
    <row r="16" spans="1:41" ht="24" customHeight="1" x14ac:dyDescent="0.2">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29" t="str">
        <f t="shared" si="0"/>
        <v/>
      </c>
      <c r="AA16" s="30"/>
      <c r="AB16" s="29" t="str">
        <f t="shared" si="1"/>
        <v/>
      </c>
      <c r="AC16" s="30"/>
      <c r="AD16" s="30"/>
      <c r="AE16" s="30"/>
      <c r="AF16" s="30"/>
      <c r="AG16" s="30"/>
      <c r="AH16" s="30"/>
      <c r="AI16" s="30"/>
      <c r="AJ16" s="30"/>
      <c r="AK16" s="30"/>
      <c r="AL16" s="30"/>
      <c r="AM16" s="30"/>
      <c r="AN16" s="30"/>
      <c r="AO16" s="30"/>
    </row>
    <row r="17" spans="1:41" ht="24" customHeight="1" x14ac:dyDescent="0.2">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9" t="str">
        <f t="shared" si="0"/>
        <v/>
      </c>
      <c r="AA17" s="28"/>
      <c r="AB17" s="29" t="str">
        <f t="shared" si="1"/>
        <v/>
      </c>
      <c r="AC17" s="28"/>
      <c r="AD17" s="28"/>
      <c r="AE17" s="28"/>
      <c r="AF17" s="28"/>
      <c r="AG17" s="28"/>
      <c r="AH17" s="28"/>
      <c r="AI17" s="28"/>
      <c r="AJ17" s="28"/>
      <c r="AK17" s="28"/>
      <c r="AL17" s="28"/>
      <c r="AM17" s="28"/>
      <c r="AN17" s="28"/>
      <c r="AO17" s="28"/>
    </row>
    <row r="18" spans="1:41" ht="24" customHeight="1" x14ac:dyDescent="0.2">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29" t="str">
        <f t="shared" si="0"/>
        <v/>
      </c>
      <c r="AA18" s="30"/>
      <c r="AB18" s="29" t="str">
        <f t="shared" si="1"/>
        <v/>
      </c>
      <c r="AC18" s="30"/>
      <c r="AD18" s="30"/>
      <c r="AE18" s="30"/>
      <c r="AF18" s="30"/>
      <c r="AG18" s="30"/>
      <c r="AH18" s="30"/>
      <c r="AI18" s="30"/>
      <c r="AJ18" s="30"/>
      <c r="AK18" s="30"/>
      <c r="AL18" s="30"/>
      <c r="AM18" s="30"/>
      <c r="AN18" s="30"/>
      <c r="AO18" s="30"/>
    </row>
    <row r="19" spans="1:41" ht="24" customHeight="1" x14ac:dyDescent="0.2">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9" t="str">
        <f t="shared" si="0"/>
        <v/>
      </c>
      <c r="AA19" s="28"/>
      <c r="AB19" s="29" t="str">
        <f t="shared" si="1"/>
        <v/>
      </c>
      <c r="AC19" s="28"/>
      <c r="AD19" s="28"/>
      <c r="AE19" s="28"/>
      <c r="AF19" s="28"/>
      <c r="AG19" s="28"/>
      <c r="AH19" s="28"/>
      <c r="AI19" s="28"/>
      <c r="AJ19" s="28"/>
      <c r="AK19" s="28"/>
      <c r="AL19" s="28"/>
      <c r="AM19" s="28"/>
      <c r="AN19" s="28"/>
      <c r="AO19" s="28"/>
    </row>
    <row r="20" spans="1:41" ht="24" customHeight="1" x14ac:dyDescent="0.2">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29" t="str">
        <f t="shared" si="0"/>
        <v/>
      </c>
      <c r="AA20" s="30"/>
      <c r="AB20" s="29" t="str">
        <f t="shared" si="1"/>
        <v/>
      </c>
      <c r="AC20" s="30"/>
      <c r="AD20" s="30"/>
      <c r="AE20" s="30"/>
      <c r="AF20" s="30"/>
      <c r="AG20" s="30"/>
      <c r="AH20" s="30"/>
      <c r="AI20" s="30"/>
      <c r="AJ20" s="30"/>
      <c r="AK20" s="30"/>
      <c r="AL20" s="30"/>
      <c r="AM20" s="30"/>
      <c r="AN20" s="30"/>
      <c r="AO20" s="30"/>
    </row>
    <row r="21" spans="1:41" ht="24" customHeight="1" x14ac:dyDescent="0.2">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9" t="str">
        <f t="shared" si="0"/>
        <v/>
      </c>
      <c r="AA21" s="28"/>
      <c r="AB21" s="29" t="str">
        <f t="shared" si="1"/>
        <v/>
      </c>
      <c r="AC21" s="28"/>
      <c r="AD21" s="28"/>
      <c r="AE21" s="28"/>
      <c r="AF21" s="28"/>
      <c r="AG21" s="28"/>
      <c r="AH21" s="28"/>
      <c r="AI21" s="28"/>
      <c r="AJ21" s="28"/>
      <c r="AK21" s="28"/>
      <c r="AL21" s="28"/>
      <c r="AM21" s="28"/>
      <c r="AN21" s="28"/>
      <c r="AO21" s="28"/>
    </row>
    <row r="22" spans="1:41" ht="24" customHeight="1" x14ac:dyDescent="0.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29" t="str">
        <f t="shared" si="0"/>
        <v/>
      </c>
      <c r="AA22" s="30"/>
      <c r="AB22" s="29" t="str">
        <f t="shared" si="1"/>
        <v/>
      </c>
      <c r="AC22" s="30"/>
      <c r="AD22" s="30"/>
      <c r="AE22" s="30"/>
      <c r="AF22" s="30"/>
      <c r="AG22" s="30"/>
      <c r="AH22" s="30"/>
      <c r="AI22" s="30"/>
      <c r="AJ22" s="30"/>
      <c r="AK22" s="30"/>
      <c r="AL22" s="30"/>
      <c r="AM22" s="30"/>
      <c r="AN22" s="30"/>
      <c r="AO22" s="30"/>
    </row>
    <row r="23" spans="1:41" ht="24" customHeight="1" x14ac:dyDescent="0.2">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9" t="str">
        <f t="shared" si="0"/>
        <v/>
      </c>
      <c r="AA23" s="28"/>
      <c r="AB23" s="29" t="str">
        <f t="shared" si="1"/>
        <v/>
      </c>
      <c r="AC23" s="28"/>
      <c r="AD23" s="28"/>
      <c r="AE23" s="28"/>
      <c r="AF23" s="28"/>
      <c r="AG23" s="28"/>
      <c r="AH23" s="28"/>
      <c r="AI23" s="28"/>
      <c r="AJ23" s="28"/>
      <c r="AK23" s="28"/>
      <c r="AL23" s="28"/>
      <c r="AM23" s="28"/>
      <c r="AN23" s="28"/>
      <c r="AO23" s="28"/>
    </row>
    <row r="24" spans="1:41" ht="24" customHeight="1" x14ac:dyDescent="0.2">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29" t="str">
        <f t="shared" si="0"/>
        <v/>
      </c>
      <c r="AA24" s="30"/>
      <c r="AB24" s="29" t="str">
        <f t="shared" si="1"/>
        <v/>
      </c>
      <c r="AC24" s="30"/>
      <c r="AD24" s="30"/>
      <c r="AE24" s="30"/>
      <c r="AF24" s="30"/>
      <c r="AG24" s="30"/>
      <c r="AH24" s="30"/>
      <c r="AI24" s="30"/>
      <c r="AJ24" s="30"/>
      <c r="AK24" s="30"/>
      <c r="AL24" s="30"/>
      <c r="AM24" s="30"/>
      <c r="AN24" s="30"/>
      <c r="AO24" s="30"/>
    </row>
    <row r="25" spans="1:41" ht="24" customHeight="1" x14ac:dyDescent="0.2">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9" t="str">
        <f t="shared" si="0"/>
        <v/>
      </c>
      <c r="AA25" s="28"/>
      <c r="AB25" s="29" t="str">
        <f t="shared" si="1"/>
        <v/>
      </c>
      <c r="AC25" s="28"/>
      <c r="AD25" s="28"/>
      <c r="AE25" s="28"/>
      <c r="AF25" s="28"/>
      <c r="AG25" s="28"/>
      <c r="AH25" s="28"/>
      <c r="AI25" s="28"/>
      <c r="AJ25" s="28"/>
      <c r="AK25" s="28"/>
      <c r="AL25" s="28"/>
      <c r="AM25" s="28"/>
      <c r="AN25" s="28"/>
      <c r="AO25" s="28"/>
    </row>
    <row r="26" spans="1:41" ht="24" customHeight="1" x14ac:dyDescent="0.2">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29" t="str">
        <f t="shared" si="0"/>
        <v/>
      </c>
      <c r="AA26" s="30"/>
      <c r="AB26" s="29" t="str">
        <f t="shared" si="1"/>
        <v/>
      </c>
      <c r="AC26" s="30"/>
      <c r="AD26" s="30"/>
      <c r="AE26" s="30"/>
      <c r="AF26" s="30"/>
      <c r="AG26" s="30"/>
      <c r="AH26" s="30"/>
      <c r="AI26" s="30"/>
      <c r="AJ26" s="30"/>
      <c r="AK26" s="30"/>
      <c r="AL26" s="30"/>
      <c r="AM26" s="30"/>
      <c r="AN26" s="30"/>
      <c r="AO26" s="30"/>
    </row>
    <row r="27" spans="1:41" ht="24" customHeight="1" x14ac:dyDescent="0.2">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9" t="str">
        <f t="shared" si="0"/>
        <v/>
      </c>
      <c r="AA27" s="28"/>
      <c r="AB27" s="29" t="str">
        <f t="shared" si="1"/>
        <v/>
      </c>
      <c r="AC27" s="28"/>
      <c r="AD27" s="28"/>
      <c r="AE27" s="28"/>
      <c r="AF27" s="28"/>
      <c r="AG27" s="28"/>
      <c r="AH27" s="28"/>
      <c r="AI27" s="28"/>
      <c r="AJ27" s="28"/>
      <c r="AK27" s="28"/>
      <c r="AL27" s="28"/>
      <c r="AM27" s="28"/>
      <c r="AN27" s="28"/>
      <c r="AO27" s="28"/>
    </row>
    <row r="28" spans="1:41" ht="24" customHeight="1" x14ac:dyDescent="0.2">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29" t="str">
        <f t="shared" si="0"/>
        <v/>
      </c>
      <c r="AA28" s="30"/>
      <c r="AB28" s="29" t="str">
        <f t="shared" si="1"/>
        <v/>
      </c>
      <c r="AC28" s="30"/>
      <c r="AD28" s="30"/>
      <c r="AE28" s="30"/>
      <c r="AF28" s="30"/>
      <c r="AG28" s="30"/>
      <c r="AH28" s="30"/>
      <c r="AI28" s="30"/>
      <c r="AJ28" s="30"/>
      <c r="AK28" s="30"/>
      <c r="AL28" s="30"/>
      <c r="AM28" s="30"/>
      <c r="AN28" s="30"/>
      <c r="AO28" s="30"/>
    </row>
    <row r="29" spans="1:41" ht="24" customHeight="1" x14ac:dyDescent="0.2">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9" t="str">
        <f t="shared" si="0"/>
        <v/>
      </c>
      <c r="AA29" s="28"/>
      <c r="AB29" s="29" t="str">
        <f t="shared" si="1"/>
        <v/>
      </c>
      <c r="AC29" s="28"/>
      <c r="AD29" s="28"/>
      <c r="AE29" s="28"/>
      <c r="AF29" s="28"/>
      <c r="AG29" s="28"/>
      <c r="AH29" s="28"/>
      <c r="AI29" s="28"/>
      <c r="AJ29" s="28"/>
      <c r="AK29" s="28"/>
      <c r="AL29" s="28"/>
      <c r="AM29" s="28"/>
      <c r="AN29" s="28"/>
      <c r="AO29" s="28"/>
    </row>
    <row r="30" spans="1:41" ht="24" customHeight="1" x14ac:dyDescent="0.2">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29" t="str">
        <f t="shared" si="0"/>
        <v/>
      </c>
      <c r="AA30" s="30"/>
      <c r="AB30" s="29" t="str">
        <f t="shared" si="1"/>
        <v/>
      </c>
      <c r="AC30" s="30"/>
      <c r="AD30" s="30"/>
      <c r="AE30" s="30"/>
      <c r="AF30" s="30"/>
      <c r="AG30" s="30"/>
      <c r="AH30" s="30"/>
      <c r="AI30" s="30"/>
      <c r="AJ30" s="30"/>
      <c r="AK30" s="30"/>
      <c r="AL30" s="30"/>
      <c r="AM30" s="30"/>
      <c r="AN30" s="30"/>
      <c r="AO30" s="30"/>
    </row>
    <row r="31" spans="1:41" ht="24" customHeight="1" x14ac:dyDescent="0.2">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9" t="str">
        <f t="shared" si="0"/>
        <v/>
      </c>
      <c r="AA31" s="28"/>
      <c r="AB31" s="29" t="str">
        <f t="shared" si="1"/>
        <v/>
      </c>
      <c r="AC31" s="28"/>
      <c r="AD31" s="28"/>
      <c r="AE31" s="28"/>
      <c r="AF31" s="28"/>
      <c r="AG31" s="28"/>
      <c r="AH31" s="28"/>
      <c r="AI31" s="28"/>
      <c r="AJ31" s="28"/>
      <c r="AK31" s="28"/>
      <c r="AL31" s="28"/>
      <c r="AM31" s="28"/>
      <c r="AN31" s="28"/>
      <c r="AO31" s="28"/>
    </row>
    <row r="32" spans="1:41" ht="24" customHeight="1" x14ac:dyDescent="0.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29" t="str">
        <f t="shared" si="0"/>
        <v/>
      </c>
      <c r="AA32" s="30"/>
      <c r="AB32" s="29" t="str">
        <f t="shared" si="1"/>
        <v/>
      </c>
      <c r="AC32" s="30"/>
      <c r="AD32" s="30"/>
      <c r="AE32" s="30"/>
      <c r="AF32" s="30"/>
      <c r="AG32" s="30"/>
      <c r="AH32" s="30"/>
      <c r="AI32" s="30"/>
      <c r="AJ32" s="30"/>
      <c r="AK32" s="30"/>
      <c r="AL32" s="30"/>
      <c r="AM32" s="30"/>
      <c r="AN32" s="30"/>
      <c r="AO32" s="30"/>
    </row>
    <row r="33" spans="1:41" ht="24" customHeight="1" x14ac:dyDescent="0.2">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9" t="str">
        <f t="shared" si="0"/>
        <v/>
      </c>
      <c r="AA33" s="28"/>
      <c r="AB33" s="29" t="str">
        <f t="shared" si="1"/>
        <v/>
      </c>
      <c r="AC33" s="28"/>
      <c r="AD33" s="28"/>
      <c r="AE33" s="28"/>
      <c r="AF33" s="28"/>
      <c r="AG33" s="28"/>
      <c r="AH33" s="28"/>
      <c r="AI33" s="28"/>
      <c r="AJ33" s="28"/>
      <c r="AK33" s="28"/>
      <c r="AL33" s="28"/>
      <c r="AM33" s="28"/>
      <c r="AN33" s="28"/>
      <c r="AO33" s="28"/>
    </row>
    <row r="34" spans="1:41" ht="24" customHeight="1" x14ac:dyDescent="0.2">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29" t="str">
        <f t="shared" si="0"/>
        <v/>
      </c>
      <c r="AA34" s="30"/>
      <c r="AB34" s="29" t="str">
        <f t="shared" si="1"/>
        <v/>
      </c>
      <c r="AC34" s="30"/>
      <c r="AD34" s="30"/>
      <c r="AE34" s="30"/>
      <c r="AF34" s="30"/>
      <c r="AG34" s="30"/>
      <c r="AH34" s="30"/>
      <c r="AI34" s="30"/>
      <c r="AJ34" s="30"/>
      <c r="AK34" s="30"/>
      <c r="AL34" s="30"/>
      <c r="AM34" s="30"/>
      <c r="AN34" s="30"/>
      <c r="AO34" s="30"/>
    </row>
    <row r="35" spans="1:41" ht="24" customHeight="1" x14ac:dyDescent="0.2">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9" t="str">
        <f t="shared" si="0"/>
        <v/>
      </c>
      <c r="AA35" s="28"/>
      <c r="AB35" s="29" t="str">
        <f t="shared" si="1"/>
        <v/>
      </c>
      <c r="AC35" s="28"/>
      <c r="AD35" s="28"/>
      <c r="AE35" s="28"/>
      <c r="AF35" s="28"/>
      <c r="AG35" s="28"/>
      <c r="AH35" s="28"/>
      <c r="AI35" s="28"/>
      <c r="AJ35" s="28"/>
      <c r="AK35" s="28"/>
      <c r="AL35" s="28"/>
      <c r="AM35" s="28"/>
      <c r="AN35" s="28"/>
      <c r="AO35" s="28"/>
    </row>
    <row r="36" spans="1:41" ht="24" customHeight="1" x14ac:dyDescent="0.2">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29" t="str">
        <f t="shared" si="0"/>
        <v/>
      </c>
      <c r="AA36" s="30"/>
      <c r="AB36" s="29" t="str">
        <f t="shared" si="1"/>
        <v/>
      </c>
      <c r="AC36" s="30"/>
      <c r="AD36" s="30"/>
      <c r="AE36" s="30"/>
      <c r="AF36" s="30"/>
      <c r="AG36" s="30"/>
      <c r="AH36" s="30"/>
      <c r="AI36" s="30"/>
      <c r="AJ36" s="30"/>
      <c r="AK36" s="30"/>
      <c r="AL36" s="30"/>
      <c r="AM36" s="30"/>
      <c r="AN36" s="30"/>
      <c r="AO36" s="30"/>
    </row>
    <row r="37" spans="1:41" ht="24" customHeight="1" x14ac:dyDescent="0.2">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9" t="str">
        <f t="shared" ref="Z37:Z68" si="2">IF(AND(X37&lt;&gt;"",Y37&lt;&gt;""),X37+Y37,"")</f>
        <v/>
      </c>
      <c r="AA37" s="28"/>
      <c r="AB37" s="29" t="str">
        <f t="shared" si="1"/>
        <v/>
      </c>
      <c r="AC37" s="28"/>
      <c r="AD37" s="28"/>
      <c r="AE37" s="28"/>
      <c r="AF37" s="28"/>
      <c r="AG37" s="28"/>
      <c r="AH37" s="28"/>
      <c r="AI37" s="28"/>
      <c r="AJ37" s="28"/>
      <c r="AK37" s="28"/>
      <c r="AL37" s="28"/>
      <c r="AM37" s="28"/>
      <c r="AN37" s="28"/>
      <c r="AO37" s="28"/>
    </row>
    <row r="38" spans="1:41" ht="24" customHeight="1" x14ac:dyDescent="0.2">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29" t="str">
        <f t="shared" si="2"/>
        <v/>
      </c>
      <c r="AA38" s="30"/>
      <c r="AB38" s="29" t="str">
        <f t="shared" ref="AB38:AB69" si="3">IF(AA38&lt;&gt;"",AA38+AB37,"")</f>
        <v/>
      </c>
      <c r="AC38" s="30"/>
      <c r="AD38" s="30"/>
      <c r="AE38" s="30"/>
      <c r="AF38" s="30"/>
      <c r="AG38" s="30"/>
      <c r="AH38" s="30"/>
      <c r="AI38" s="30"/>
      <c r="AJ38" s="30"/>
      <c r="AK38" s="30"/>
      <c r="AL38" s="30"/>
      <c r="AM38" s="30"/>
      <c r="AN38" s="30"/>
      <c r="AO38" s="30"/>
    </row>
    <row r="39" spans="1:41" ht="24" customHeight="1" x14ac:dyDescent="0.2">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9" t="str">
        <f t="shared" si="2"/>
        <v/>
      </c>
      <c r="AA39" s="28"/>
      <c r="AB39" s="29" t="str">
        <f t="shared" si="3"/>
        <v/>
      </c>
      <c r="AC39" s="28"/>
      <c r="AD39" s="28"/>
      <c r="AE39" s="28"/>
      <c r="AF39" s="28"/>
      <c r="AG39" s="28"/>
      <c r="AH39" s="28"/>
      <c r="AI39" s="28"/>
      <c r="AJ39" s="28"/>
      <c r="AK39" s="28"/>
      <c r="AL39" s="28"/>
      <c r="AM39" s="28"/>
      <c r="AN39" s="28"/>
      <c r="AO39" s="28"/>
    </row>
    <row r="40" spans="1:41" ht="24" customHeight="1" x14ac:dyDescent="0.2">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29" t="str">
        <f t="shared" si="2"/>
        <v/>
      </c>
      <c r="AA40" s="30"/>
      <c r="AB40" s="29" t="str">
        <f t="shared" si="3"/>
        <v/>
      </c>
      <c r="AC40" s="30"/>
      <c r="AD40" s="30"/>
      <c r="AE40" s="30"/>
      <c r="AF40" s="30"/>
      <c r="AG40" s="30"/>
      <c r="AH40" s="30"/>
      <c r="AI40" s="30"/>
      <c r="AJ40" s="30"/>
      <c r="AK40" s="30"/>
      <c r="AL40" s="30"/>
      <c r="AM40" s="30"/>
      <c r="AN40" s="30"/>
      <c r="AO40" s="30"/>
    </row>
    <row r="41" spans="1:41" ht="24" customHeight="1" x14ac:dyDescent="0.2">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9" t="str">
        <f t="shared" si="2"/>
        <v/>
      </c>
      <c r="AA41" s="28"/>
      <c r="AB41" s="29" t="str">
        <f t="shared" si="3"/>
        <v/>
      </c>
      <c r="AC41" s="28"/>
      <c r="AD41" s="28"/>
      <c r="AE41" s="28"/>
      <c r="AF41" s="28"/>
      <c r="AG41" s="28"/>
      <c r="AH41" s="28"/>
      <c r="AI41" s="28"/>
      <c r="AJ41" s="28"/>
      <c r="AK41" s="28"/>
      <c r="AL41" s="28"/>
      <c r="AM41" s="28"/>
      <c r="AN41" s="28"/>
      <c r="AO41" s="28"/>
    </row>
    <row r="42" spans="1:41" ht="24" customHeight="1" x14ac:dyDescent="0.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29" t="str">
        <f t="shared" si="2"/>
        <v/>
      </c>
      <c r="AA42" s="30"/>
      <c r="AB42" s="29" t="str">
        <f t="shared" si="3"/>
        <v/>
      </c>
      <c r="AC42" s="30"/>
      <c r="AD42" s="30"/>
      <c r="AE42" s="30"/>
      <c r="AF42" s="30"/>
      <c r="AG42" s="30"/>
      <c r="AH42" s="30"/>
      <c r="AI42" s="30"/>
      <c r="AJ42" s="30"/>
      <c r="AK42" s="30"/>
      <c r="AL42" s="30"/>
      <c r="AM42" s="30"/>
      <c r="AN42" s="30"/>
      <c r="AO42" s="30"/>
    </row>
    <row r="43" spans="1:41" ht="24" customHeight="1" x14ac:dyDescent="0.2">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9" t="str">
        <f t="shared" si="2"/>
        <v/>
      </c>
      <c r="AA43" s="28"/>
      <c r="AB43" s="29" t="str">
        <f t="shared" si="3"/>
        <v/>
      </c>
      <c r="AC43" s="28"/>
      <c r="AD43" s="28"/>
      <c r="AE43" s="28"/>
      <c r="AF43" s="28"/>
      <c r="AG43" s="28"/>
      <c r="AH43" s="28"/>
      <c r="AI43" s="28"/>
      <c r="AJ43" s="28"/>
      <c r="AK43" s="28"/>
      <c r="AL43" s="28"/>
      <c r="AM43" s="28"/>
      <c r="AN43" s="28"/>
      <c r="AO43" s="28"/>
    </row>
    <row r="44" spans="1:41" ht="24" customHeight="1" x14ac:dyDescent="0.2">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29" t="str">
        <f t="shared" si="2"/>
        <v/>
      </c>
      <c r="AA44" s="30"/>
      <c r="AB44" s="29" t="str">
        <f t="shared" si="3"/>
        <v/>
      </c>
      <c r="AC44" s="30"/>
      <c r="AD44" s="30"/>
      <c r="AE44" s="30"/>
      <c r="AF44" s="30"/>
      <c r="AG44" s="30"/>
      <c r="AH44" s="30"/>
      <c r="AI44" s="30"/>
      <c r="AJ44" s="30"/>
      <c r="AK44" s="30"/>
      <c r="AL44" s="30"/>
      <c r="AM44" s="30"/>
      <c r="AN44" s="30"/>
      <c r="AO44" s="30"/>
    </row>
    <row r="45" spans="1:41" ht="24" customHeight="1" x14ac:dyDescent="0.2">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9" t="str">
        <f t="shared" si="2"/>
        <v/>
      </c>
      <c r="AA45" s="28"/>
      <c r="AB45" s="29" t="str">
        <f t="shared" si="3"/>
        <v/>
      </c>
      <c r="AC45" s="28"/>
      <c r="AD45" s="28"/>
      <c r="AE45" s="28"/>
      <c r="AF45" s="28"/>
      <c r="AG45" s="28"/>
      <c r="AH45" s="28"/>
      <c r="AI45" s="28"/>
      <c r="AJ45" s="28"/>
      <c r="AK45" s="28"/>
      <c r="AL45" s="28"/>
      <c r="AM45" s="28"/>
      <c r="AN45" s="28"/>
      <c r="AO45" s="28"/>
    </row>
    <row r="46" spans="1:41" ht="24" customHeight="1" x14ac:dyDescent="0.2">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29" t="str">
        <f t="shared" si="2"/>
        <v/>
      </c>
      <c r="AA46" s="30"/>
      <c r="AB46" s="29" t="str">
        <f t="shared" si="3"/>
        <v/>
      </c>
      <c r="AC46" s="30"/>
      <c r="AD46" s="30"/>
      <c r="AE46" s="30"/>
      <c r="AF46" s="30"/>
      <c r="AG46" s="30"/>
      <c r="AH46" s="30"/>
      <c r="AI46" s="30"/>
      <c r="AJ46" s="30"/>
      <c r="AK46" s="30"/>
      <c r="AL46" s="30"/>
      <c r="AM46" s="30"/>
      <c r="AN46" s="30"/>
      <c r="AO46" s="30"/>
    </row>
    <row r="47" spans="1:41" ht="24" customHeight="1" x14ac:dyDescent="0.2">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9" t="str">
        <f t="shared" si="2"/>
        <v/>
      </c>
      <c r="AA47" s="28"/>
      <c r="AB47" s="29" t="str">
        <f t="shared" si="3"/>
        <v/>
      </c>
      <c r="AC47" s="28"/>
      <c r="AD47" s="28"/>
      <c r="AE47" s="28"/>
      <c r="AF47" s="28"/>
      <c r="AG47" s="28"/>
      <c r="AH47" s="28"/>
      <c r="AI47" s="28"/>
      <c r="AJ47" s="28"/>
      <c r="AK47" s="28"/>
      <c r="AL47" s="28"/>
      <c r="AM47" s="28"/>
      <c r="AN47" s="28"/>
      <c r="AO47" s="28"/>
    </row>
    <row r="48" spans="1:41" ht="24" customHeight="1" x14ac:dyDescent="0.2">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29" t="str">
        <f t="shared" si="2"/>
        <v/>
      </c>
      <c r="AA48" s="30"/>
      <c r="AB48" s="29" t="str">
        <f t="shared" si="3"/>
        <v/>
      </c>
      <c r="AC48" s="30"/>
      <c r="AD48" s="30"/>
      <c r="AE48" s="30"/>
      <c r="AF48" s="30"/>
      <c r="AG48" s="30"/>
      <c r="AH48" s="30"/>
      <c r="AI48" s="30"/>
      <c r="AJ48" s="30"/>
      <c r="AK48" s="30"/>
      <c r="AL48" s="30"/>
      <c r="AM48" s="30"/>
      <c r="AN48" s="30"/>
      <c r="AO48" s="30"/>
    </row>
    <row r="49" spans="1:41" ht="24" customHeight="1" x14ac:dyDescent="0.2">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9" t="str">
        <f t="shared" si="2"/>
        <v/>
      </c>
      <c r="AA49" s="28"/>
      <c r="AB49" s="29" t="str">
        <f t="shared" si="3"/>
        <v/>
      </c>
      <c r="AC49" s="28"/>
      <c r="AD49" s="28"/>
      <c r="AE49" s="28"/>
      <c r="AF49" s="28"/>
      <c r="AG49" s="28"/>
      <c r="AH49" s="28"/>
      <c r="AI49" s="28"/>
      <c r="AJ49" s="28"/>
      <c r="AK49" s="28"/>
      <c r="AL49" s="28"/>
      <c r="AM49" s="28"/>
      <c r="AN49" s="28"/>
      <c r="AO49" s="28"/>
    </row>
    <row r="50" spans="1:41" ht="24" customHeight="1" x14ac:dyDescent="0.2">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29" t="str">
        <f t="shared" si="2"/>
        <v/>
      </c>
      <c r="AA50" s="30"/>
      <c r="AB50" s="29" t="str">
        <f t="shared" si="3"/>
        <v/>
      </c>
      <c r="AC50" s="30"/>
      <c r="AD50" s="30"/>
      <c r="AE50" s="30"/>
      <c r="AF50" s="30"/>
      <c r="AG50" s="30"/>
      <c r="AH50" s="30"/>
      <c r="AI50" s="30"/>
      <c r="AJ50" s="30"/>
      <c r="AK50" s="30"/>
      <c r="AL50" s="30"/>
      <c r="AM50" s="30"/>
      <c r="AN50" s="30"/>
      <c r="AO50" s="30"/>
    </row>
    <row r="51" spans="1:41" ht="24" customHeight="1" x14ac:dyDescent="0.2">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9" t="str">
        <f t="shared" si="2"/>
        <v/>
      </c>
      <c r="AA51" s="28"/>
      <c r="AB51" s="29" t="str">
        <f t="shared" si="3"/>
        <v/>
      </c>
      <c r="AC51" s="28"/>
      <c r="AD51" s="28"/>
      <c r="AE51" s="28"/>
      <c r="AF51" s="28"/>
      <c r="AG51" s="28"/>
      <c r="AH51" s="28"/>
      <c r="AI51" s="28"/>
      <c r="AJ51" s="28"/>
      <c r="AK51" s="28"/>
      <c r="AL51" s="28"/>
      <c r="AM51" s="28"/>
      <c r="AN51" s="28"/>
      <c r="AO51" s="28"/>
    </row>
    <row r="52" spans="1:41" ht="24" customHeight="1" x14ac:dyDescent="0.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29" t="str">
        <f t="shared" si="2"/>
        <v/>
      </c>
      <c r="AA52" s="30"/>
      <c r="AB52" s="29" t="str">
        <f t="shared" si="3"/>
        <v/>
      </c>
      <c r="AC52" s="30"/>
      <c r="AD52" s="30"/>
      <c r="AE52" s="30"/>
      <c r="AF52" s="30"/>
      <c r="AG52" s="30"/>
      <c r="AH52" s="30"/>
      <c r="AI52" s="30"/>
      <c r="AJ52" s="30"/>
      <c r="AK52" s="30"/>
      <c r="AL52" s="30"/>
      <c r="AM52" s="30"/>
      <c r="AN52" s="30"/>
      <c r="AO52" s="30"/>
    </row>
    <row r="53" spans="1:41" ht="24" customHeight="1" x14ac:dyDescent="0.2">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9" t="str">
        <f t="shared" si="2"/>
        <v/>
      </c>
      <c r="AA53" s="28"/>
      <c r="AB53" s="29" t="str">
        <f t="shared" si="3"/>
        <v/>
      </c>
      <c r="AC53" s="28"/>
      <c r="AD53" s="28"/>
      <c r="AE53" s="28"/>
      <c r="AF53" s="28"/>
      <c r="AG53" s="28"/>
      <c r="AH53" s="28"/>
      <c r="AI53" s="28"/>
      <c r="AJ53" s="28"/>
      <c r="AK53" s="28"/>
      <c r="AL53" s="28"/>
      <c r="AM53" s="28"/>
      <c r="AN53" s="28"/>
      <c r="AO53" s="28"/>
    </row>
    <row r="54" spans="1:41" ht="24" customHeight="1" x14ac:dyDescent="0.2">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29" t="str">
        <f t="shared" si="2"/>
        <v/>
      </c>
      <c r="AA54" s="30"/>
      <c r="AB54" s="29" t="str">
        <f t="shared" si="3"/>
        <v/>
      </c>
      <c r="AC54" s="30"/>
      <c r="AD54" s="30"/>
      <c r="AE54" s="30"/>
      <c r="AF54" s="30"/>
      <c r="AG54" s="30"/>
      <c r="AH54" s="30"/>
      <c r="AI54" s="30"/>
      <c r="AJ54" s="30"/>
      <c r="AK54" s="30"/>
      <c r="AL54" s="30"/>
      <c r="AM54" s="30"/>
      <c r="AN54" s="30"/>
      <c r="AO54" s="30"/>
    </row>
  </sheetData>
  <mergeCells count="8">
    <mergeCell ref="AC1:AI1"/>
    <mergeCell ref="AJ1:AM1"/>
    <mergeCell ref="AN1:AO1"/>
    <mergeCell ref="A1:F1"/>
    <mergeCell ref="G1:K1"/>
    <mergeCell ref="L1:S1"/>
    <mergeCell ref="T1:W1"/>
    <mergeCell ref="X1:AB1"/>
  </mergeCells>
  <conditionalFormatting sqref="AH4:AH54">
    <cfRule type="colorScale" priority="2">
      <colorScale>
        <cfvo type="num" val="1"/>
        <cfvo type="num" val="3"/>
        <cfvo type="num" val="5"/>
        <color rgb="FFFF4444"/>
        <color rgb="FFFFDD44"/>
        <color rgb="FF44BB44"/>
      </colorScale>
    </cfRule>
  </conditionalFormatting>
  <dataValidations count="6">
    <dataValidation type="list" allowBlank="1" sqref="H4:H54" xr:uid="{00000000-0002-0000-0100-000000000000}">
      <formula1>"Open,Closed,Open-weight"</formula1>
      <formula2>0</formula2>
    </dataValidation>
    <dataValidation type="list" allowBlank="1" sqref="I4:I54" xr:uid="{00000000-0002-0000-0100-000001000000}">
      <formula1>"Cloud,Local,Both"</formula1>
      <formula2>0</formula2>
    </dataValidation>
    <dataValidation type="list" allowBlank="1" sqref="AH4:AH54" xr:uid="{00000000-0002-0000-0100-000002000000}">
      <formula1>"1,2,3,4,5"</formula1>
      <formula2>0</formula2>
    </dataValidation>
    <dataValidation type="list" allowBlank="1" sqref="AI4:AI54" xr:uid="{00000000-0002-0000-0100-000003000000}">
      <formula1>"Yes,Partial,No"</formula1>
      <formula2>0</formula2>
    </dataValidation>
    <dataValidation type="list" allowBlank="1" sqref="AJ4:AJ54" xr:uid="{00000000-0002-0000-0100-000004000000}">
      <formula1>"Yes,No,Unsure"</formula1>
      <formula2>0</formula2>
    </dataValidation>
    <dataValidation type="list" allowBlank="1" sqref="AL4:AL54" xr:uid="{00000000-0002-0000-0100-000005000000}">
      <formula1>"Yes,No"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2"/>
  <sheetViews>
    <sheetView showGridLines="0" zoomScaleNormal="100" workbookViewId="0">
      <pane ySplit="2" topLeftCell="A3" activePane="bottomLeft" state="frozen"/>
      <selection pane="bottomLeft" activeCell="E15" sqref="E15"/>
    </sheetView>
  </sheetViews>
  <sheetFormatPr baseColWidth="10" defaultColWidth="8.6640625" defaultRowHeight="15" customHeight="1" x14ac:dyDescent="0.2"/>
  <cols>
    <col min="1" max="1" width="12" customWidth="1"/>
    <col min="2" max="2" width="16" customWidth="1"/>
    <col min="3" max="4" width="18" customWidth="1"/>
    <col min="5" max="5" width="55" customWidth="1"/>
    <col min="6" max="7" width="35" customWidth="1"/>
    <col min="8" max="8" width="18" customWidth="1"/>
    <col min="9" max="9" width="20" customWidth="1"/>
  </cols>
  <sheetData>
    <row r="1" spans="1:9" ht="30" customHeight="1" x14ac:dyDescent="0.2">
      <c r="A1" s="68" t="s">
        <v>279</v>
      </c>
      <c r="B1" s="2"/>
      <c r="C1" s="2"/>
      <c r="D1" s="2"/>
      <c r="E1" s="2"/>
      <c r="F1" s="2"/>
      <c r="G1" s="2"/>
      <c r="H1" s="2"/>
      <c r="I1" s="2"/>
    </row>
    <row r="2" spans="1:9" ht="36" customHeight="1" x14ac:dyDescent="0.2">
      <c r="A2" s="18" t="s">
        <v>141</v>
      </c>
      <c r="B2" s="18" t="s">
        <v>142</v>
      </c>
      <c r="C2" s="18" t="s">
        <v>143</v>
      </c>
      <c r="D2" s="18" t="s">
        <v>144</v>
      </c>
      <c r="E2" s="18" t="s">
        <v>145</v>
      </c>
      <c r="F2" s="18" t="s">
        <v>146</v>
      </c>
      <c r="G2" s="18" t="s">
        <v>147</v>
      </c>
      <c r="H2" s="18" t="s">
        <v>148</v>
      </c>
      <c r="I2" s="18" t="s">
        <v>149</v>
      </c>
    </row>
    <row r="3" spans="1:9" ht="60" customHeight="1" x14ac:dyDescent="0.2">
      <c r="A3" s="27" t="s">
        <v>123</v>
      </c>
      <c r="B3" s="27" t="s">
        <v>150</v>
      </c>
      <c r="C3" s="27" t="s">
        <v>151</v>
      </c>
      <c r="D3" s="27" t="s">
        <v>110</v>
      </c>
      <c r="E3" s="27" t="s">
        <v>152</v>
      </c>
      <c r="F3" s="27" t="s">
        <v>153</v>
      </c>
      <c r="G3" s="27" t="s">
        <v>154</v>
      </c>
      <c r="H3" s="27" t="s">
        <v>155</v>
      </c>
      <c r="I3" s="27" t="s">
        <v>156</v>
      </c>
    </row>
    <row r="4" spans="1:9" ht="60" customHeight="1" x14ac:dyDescent="0.2">
      <c r="A4" s="31" t="s">
        <v>157</v>
      </c>
      <c r="B4" s="31" t="s">
        <v>150</v>
      </c>
      <c r="C4" s="31" t="s">
        <v>158</v>
      </c>
      <c r="D4" s="31" t="s">
        <v>110</v>
      </c>
      <c r="E4" s="31" t="s">
        <v>159</v>
      </c>
      <c r="F4" s="31" t="s">
        <v>160</v>
      </c>
      <c r="G4" s="31" t="s">
        <v>161</v>
      </c>
      <c r="H4" s="31" t="s">
        <v>162</v>
      </c>
      <c r="I4" s="31" t="s">
        <v>163</v>
      </c>
    </row>
    <row r="5" spans="1:9" ht="60" customHeight="1" x14ac:dyDescent="0.2">
      <c r="A5" s="27" t="s">
        <v>124</v>
      </c>
      <c r="B5" s="27" t="s">
        <v>164</v>
      </c>
      <c r="C5" s="27" t="s">
        <v>151</v>
      </c>
      <c r="D5" s="27" t="s">
        <v>110</v>
      </c>
      <c r="E5" s="27" t="s">
        <v>165</v>
      </c>
      <c r="F5" s="27" t="s">
        <v>166</v>
      </c>
      <c r="G5" s="27" t="s">
        <v>167</v>
      </c>
      <c r="H5" s="27" t="s">
        <v>168</v>
      </c>
      <c r="I5" s="27" t="s">
        <v>156</v>
      </c>
    </row>
    <row r="6" spans="1:9" ht="60" customHeight="1" x14ac:dyDescent="0.2">
      <c r="A6" s="31" t="s">
        <v>169</v>
      </c>
      <c r="B6" s="31" t="s">
        <v>164</v>
      </c>
      <c r="C6" s="31" t="s">
        <v>170</v>
      </c>
      <c r="D6" s="31" t="s">
        <v>110</v>
      </c>
      <c r="E6" s="31" t="s">
        <v>171</v>
      </c>
      <c r="F6" s="31" t="s">
        <v>172</v>
      </c>
      <c r="G6" s="31" t="s">
        <v>173</v>
      </c>
      <c r="H6" s="31" t="s">
        <v>174</v>
      </c>
      <c r="I6" s="31" t="s">
        <v>163</v>
      </c>
    </row>
    <row r="7" spans="1:9" ht="19.5" customHeight="1" x14ac:dyDescent="0.2">
      <c r="A7" s="32"/>
      <c r="B7" s="32"/>
      <c r="C7" s="32"/>
      <c r="D7" s="32"/>
      <c r="E7" s="32"/>
      <c r="F7" s="32"/>
      <c r="G7" s="32"/>
      <c r="H7" s="32"/>
      <c r="I7" s="32"/>
    </row>
    <row r="8" spans="1:9" ht="19.5" customHeight="1" x14ac:dyDescent="0.2">
      <c r="A8" s="33"/>
      <c r="B8" s="33"/>
      <c r="C8" s="33"/>
      <c r="D8" s="33"/>
      <c r="E8" s="33"/>
      <c r="F8" s="33"/>
      <c r="G8" s="33"/>
      <c r="H8" s="33"/>
      <c r="I8" s="33"/>
    </row>
    <row r="9" spans="1:9" ht="19.5" customHeight="1" x14ac:dyDescent="0.2">
      <c r="A9" s="32"/>
      <c r="B9" s="32"/>
      <c r="C9" s="32"/>
      <c r="D9" s="32"/>
      <c r="E9" s="32"/>
      <c r="F9" s="32"/>
      <c r="G9" s="32"/>
      <c r="H9" s="32"/>
      <c r="I9" s="32"/>
    </row>
    <row r="10" spans="1:9" ht="19.5" customHeight="1" x14ac:dyDescent="0.2">
      <c r="A10" s="33"/>
      <c r="B10" s="33"/>
      <c r="C10" s="33"/>
      <c r="D10" s="33"/>
      <c r="E10" s="33"/>
      <c r="F10" s="33"/>
      <c r="G10" s="33"/>
      <c r="H10" s="33"/>
      <c r="I10" s="33"/>
    </row>
    <row r="11" spans="1:9" ht="19.5" customHeight="1" x14ac:dyDescent="0.2">
      <c r="A11" s="32"/>
      <c r="B11" s="32"/>
      <c r="C11" s="32"/>
      <c r="D11" s="32"/>
      <c r="E11" s="32"/>
      <c r="F11" s="32"/>
      <c r="G11" s="32"/>
      <c r="H11" s="32"/>
      <c r="I11" s="32"/>
    </row>
    <row r="12" spans="1:9" ht="19.5" customHeight="1" x14ac:dyDescent="0.2">
      <c r="A12" s="33"/>
      <c r="B12" s="33"/>
      <c r="C12" s="33"/>
      <c r="D12" s="33"/>
      <c r="E12" s="33"/>
      <c r="F12" s="33"/>
      <c r="G12" s="33"/>
      <c r="H12" s="33"/>
      <c r="I12" s="33"/>
    </row>
    <row r="13" spans="1:9" ht="19.5" customHeight="1" x14ac:dyDescent="0.2">
      <c r="A13" s="32"/>
      <c r="B13" s="32"/>
      <c r="C13" s="32"/>
      <c r="D13" s="32"/>
      <c r="E13" s="32"/>
      <c r="F13" s="32"/>
      <c r="G13" s="32"/>
      <c r="H13" s="32"/>
      <c r="I13" s="32"/>
    </row>
    <row r="14" spans="1:9" ht="19.5" customHeight="1" x14ac:dyDescent="0.2">
      <c r="A14" s="33"/>
      <c r="B14" s="33"/>
      <c r="C14" s="33"/>
      <c r="D14" s="33"/>
      <c r="E14" s="33"/>
      <c r="F14" s="33"/>
      <c r="G14" s="33"/>
      <c r="H14" s="33"/>
      <c r="I14" s="33"/>
    </row>
    <row r="15" spans="1:9" ht="19.5" customHeight="1" x14ac:dyDescent="0.2">
      <c r="A15" s="32"/>
      <c r="B15" s="32"/>
      <c r="C15" s="32"/>
      <c r="D15" s="32"/>
      <c r="E15" s="32"/>
      <c r="F15" s="32"/>
      <c r="G15" s="32"/>
      <c r="H15" s="32"/>
      <c r="I15" s="32"/>
    </row>
    <row r="16" spans="1:9" ht="19.5" customHeight="1" x14ac:dyDescent="0.2">
      <c r="A16" s="33"/>
      <c r="B16" s="33"/>
      <c r="C16" s="33"/>
      <c r="D16" s="33"/>
      <c r="E16" s="33"/>
      <c r="F16" s="33"/>
      <c r="G16" s="33"/>
      <c r="H16" s="33"/>
      <c r="I16" s="33"/>
    </row>
    <row r="17" spans="1:9" ht="19.5" customHeight="1" x14ac:dyDescent="0.2">
      <c r="A17" s="32"/>
      <c r="B17" s="32"/>
      <c r="C17" s="32"/>
      <c r="D17" s="32"/>
      <c r="E17" s="32"/>
      <c r="F17" s="32"/>
      <c r="G17" s="32"/>
      <c r="H17" s="32"/>
      <c r="I17" s="32"/>
    </row>
    <row r="18" spans="1:9" ht="19.5" customHeight="1" x14ac:dyDescent="0.2">
      <c r="A18" s="33"/>
      <c r="B18" s="33"/>
      <c r="C18" s="33"/>
      <c r="D18" s="33"/>
      <c r="E18" s="33"/>
      <c r="F18" s="33"/>
      <c r="G18" s="33"/>
      <c r="H18" s="33"/>
      <c r="I18" s="33"/>
    </row>
    <row r="19" spans="1:9" ht="19.5" customHeight="1" x14ac:dyDescent="0.2">
      <c r="A19" s="32"/>
      <c r="B19" s="32"/>
      <c r="C19" s="32"/>
      <c r="D19" s="32"/>
      <c r="E19" s="32"/>
      <c r="F19" s="32"/>
      <c r="G19" s="32"/>
      <c r="H19" s="32"/>
      <c r="I19" s="32"/>
    </row>
    <row r="20" spans="1:9" ht="19.5" customHeight="1" x14ac:dyDescent="0.2">
      <c r="A20" s="33"/>
      <c r="B20" s="33"/>
      <c r="C20" s="33"/>
      <c r="D20" s="33"/>
      <c r="E20" s="33"/>
      <c r="F20" s="33"/>
      <c r="G20" s="33"/>
      <c r="H20" s="33"/>
      <c r="I20" s="33"/>
    </row>
    <row r="21" spans="1:9" ht="19.5" customHeight="1" x14ac:dyDescent="0.2">
      <c r="A21" s="32"/>
      <c r="B21" s="32"/>
      <c r="C21" s="32"/>
      <c r="D21" s="32"/>
      <c r="E21" s="32"/>
      <c r="F21" s="32"/>
      <c r="G21" s="32"/>
      <c r="H21" s="32"/>
      <c r="I21" s="32"/>
    </row>
    <row r="22" spans="1:9" ht="19.5" customHeight="1" x14ac:dyDescent="0.2">
      <c r="A22" s="33"/>
      <c r="B22" s="33"/>
      <c r="C22" s="33"/>
      <c r="D22" s="33"/>
      <c r="E22" s="33"/>
      <c r="F22" s="33"/>
      <c r="G22" s="33"/>
      <c r="H22" s="33"/>
      <c r="I22" s="33"/>
    </row>
    <row r="23" spans="1:9" ht="19.5" customHeight="1" x14ac:dyDescent="0.2">
      <c r="A23" s="32"/>
      <c r="B23" s="32"/>
      <c r="C23" s="32"/>
      <c r="D23" s="32"/>
      <c r="E23" s="32"/>
      <c r="F23" s="32"/>
      <c r="G23" s="32"/>
      <c r="H23" s="32"/>
      <c r="I23" s="32"/>
    </row>
    <row r="24" spans="1:9" ht="19.5" customHeight="1" x14ac:dyDescent="0.2">
      <c r="A24" s="33"/>
      <c r="B24" s="33"/>
      <c r="C24" s="33"/>
      <c r="D24" s="33"/>
      <c r="E24" s="33"/>
      <c r="F24" s="33"/>
      <c r="G24" s="33"/>
      <c r="H24" s="33"/>
      <c r="I24" s="33"/>
    </row>
    <row r="25" spans="1:9" ht="19.5" customHeight="1" x14ac:dyDescent="0.2">
      <c r="A25" s="32"/>
      <c r="B25" s="32"/>
      <c r="C25" s="32"/>
      <c r="D25" s="32"/>
      <c r="E25" s="32"/>
      <c r="F25" s="32"/>
      <c r="G25" s="32"/>
      <c r="H25" s="32"/>
      <c r="I25" s="32"/>
    </row>
    <row r="26" spans="1:9" ht="19.5" customHeight="1" x14ac:dyDescent="0.2">
      <c r="A26" s="33"/>
      <c r="B26" s="33"/>
      <c r="C26" s="33"/>
      <c r="D26" s="33"/>
      <c r="E26" s="33"/>
      <c r="F26" s="33"/>
      <c r="G26" s="33"/>
      <c r="H26" s="33"/>
      <c r="I26" s="33"/>
    </row>
    <row r="27" spans="1:9" ht="19.5" customHeight="1" x14ac:dyDescent="0.2">
      <c r="A27" s="32"/>
      <c r="B27" s="32"/>
      <c r="C27" s="32"/>
      <c r="D27" s="32"/>
      <c r="E27" s="32"/>
      <c r="F27" s="32"/>
      <c r="G27" s="32"/>
      <c r="H27" s="32"/>
      <c r="I27" s="32"/>
    </row>
    <row r="28" spans="1:9" ht="19.5" customHeight="1" x14ac:dyDescent="0.2">
      <c r="A28" s="33"/>
      <c r="B28" s="33"/>
      <c r="C28" s="33"/>
      <c r="D28" s="33"/>
      <c r="E28" s="33"/>
      <c r="F28" s="33"/>
      <c r="G28" s="33"/>
      <c r="H28" s="33"/>
      <c r="I28" s="33"/>
    </row>
    <row r="29" spans="1:9" ht="19.5" customHeight="1" x14ac:dyDescent="0.2">
      <c r="A29" s="32"/>
      <c r="B29" s="32"/>
      <c r="C29" s="32"/>
      <c r="D29" s="32"/>
      <c r="E29" s="32"/>
      <c r="F29" s="32"/>
      <c r="G29" s="32"/>
      <c r="H29" s="32"/>
      <c r="I29" s="32"/>
    </row>
    <row r="30" spans="1:9" ht="19.5" customHeight="1" x14ac:dyDescent="0.2">
      <c r="A30" s="33"/>
      <c r="B30" s="33"/>
      <c r="C30" s="33"/>
      <c r="D30" s="33"/>
      <c r="E30" s="33"/>
      <c r="F30" s="33"/>
      <c r="G30" s="33"/>
      <c r="H30" s="33"/>
      <c r="I30" s="33"/>
    </row>
    <row r="31" spans="1:9" ht="19.5" customHeight="1" x14ac:dyDescent="0.2">
      <c r="A31" s="32"/>
      <c r="B31" s="32"/>
      <c r="C31" s="32"/>
      <c r="D31" s="32"/>
      <c r="E31" s="32"/>
      <c r="F31" s="32"/>
      <c r="G31" s="32"/>
      <c r="H31" s="32"/>
      <c r="I31" s="32"/>
    </row>
    <row r="32" spans="1:9" ht="19.5" customHeight="1" x14ac:dyDescent="0.2">
      <c r="A32" s="33"/>
      <c r="B32" s="33"/>
      <c r="C32" s="33"/>
      <c r="D32" s="33"/>
      <c r="E32" s="33"/>
      <c r="F32" s="33"/>
      <c r="G32" s="33"/>
      <c r="H32" s="33"/>
      <c r="I32" s="33"/>
    </row>
    <row r="33" spans="1:9" ht="19.5" customHeight="1" x14ac:dyDescent="0.2">
      <c r="A33" s="32"/>
      <c r="B33" s="32"/>
      <c r="C33" s="32"/>
      <c r="D33" s="32"/>
      <c r="E33" s="32"/>
      <c r="F33" s="32"/>
      <c r="G33" s="32"/>
      <c r="H33" s="32"/>
      <c r="I33" s="32"/>
    </row>
    <row r="34" spans="1:9" ht="19.5" customHeight="1" x14ac:dyDescent="0.2">
      <c r="A34" s="33"/>
      <c r="B34" s="33"/>
      <c r="C34" s="33"/>
      <c r="D34" s="33"/>
      <c r="E34" s="33"/>
      <c r="F34" s="33"/>
      <c r="G34" s="33"/>
      <c r="H34" s="33"/>
      <c r="I34" s="33"/>
    </row>
    <row r="35" spans="1:9" ht="19.5" customHeight="1" x14ac:dyDescent="0.2">
      <c r="A35" s="32"/>
      <c r="B35" s="32"/>
      <c r="C35" s="32"/>
      <c r="D35" s="32"/>
      <c r="E35" s="32"/>
      <c r="F35" s="32"/>
      <c r="G35" s="32"/>
      <c r="H35" s="32"/>
      <c r="I35" s="32"/>
    </row>
    <row r="36" spans="1:9" ht="19.5" customHeight="1" x14ac:dyDescent="0.2">
      <c r="A36" s="33"/>
      <c r="B36" s="33"/>
      <c r="C36" s="33"/>
      <c r="D36" s="33"/>
      <c r="E36" s="33"/>
      <c r="F36" s="33"/>
      <c r="G36" s="33"/>
      <c r="H36" s="33"/>
      <c r="I36" s="33"/>
    </row>
    <row r="37" spans="1:9" ht="19.5" customHeight="1" x14ac:dyDescent="0.2">
      <c r="A37" s="32"/>
      <c r="B37" s="32"/>
      <c r="C37" s="32"/>
      <c r="D37" s="32"/>
      <c r="E37" s="32"/>
      <c r="F37" s="32"/>
      <c r="G37" s="32"/>
      <c r="H37" s="32"/>
      <c r="I37" s="32"/>
    </row>
    <row r="38" spans="1:9" ht="19.5" customHeight="1" x14ac:dyDescent="0.2">
      <c r="A38" s="33"/>
      <c r="B38" s="33"/>
      <c r="C38" s="33"/>
      <c r="D38" s="33"/>
      <c r="E38" s="33"/>
      <c r="F38" s="33"/>
      <c r="G38" s="33"/>
      <c r="H38" s="33"/>
      <c r="I38" s="33"/>
    </row>
    <row r="39" spans="1:9" ht="19.5" customHeight="1" x14ac:dyDescent="0.2">
      <c r="A39" s="32"/>
      <c r="B39" s="32"/>
      <c r="C39" s="32"/>
      <c r="D39" s="32"/>
      <c r="E39" s="32"/>
      <c r="F39" s="32"/>
      <c r="G39" s="32"/>
      <c r="H39" s="32"/>
      <c r="I39" s="32"/>
    </row>
    <row r="40" spans="1:9" ht="19.5" customHeight="1" x14ac:dyDescent="0.2">
      <c r="A40" s="33"/>
      <c r="B40" s="33"/>
      <c r="C40" s="33"/>
      <c r="D40" s="33"/>
      <c r="E40" s="33"/>
      <c r="F40" s="33"/>
      <c r="G40" s="33"/>
      <c r="H40" s="33"/>
      <c r="I40" s="33"/>
    </row>
    <row r="41" spans="1:9" ht="19.5" customHeight="1" x14ac:dyDescent="0.2">
      <c r="A41" s="32"/>
      <c r="B41" s="32"/>
      <c r="C41" s="32"/>
      <c r="D41" s="32"/>
      <c r="E41" s="32"/>
      <c r="F41" s="32"/>
      <c r="G41" s="32"/>
      <c r="H41" s="32"/>
      <c r="I41" s="32"/>
    </row>
    <row r="42" spans="1:9" ht="19.5" customHeight="1" x14ac:dyDescent="0.2">
      <c r="A42" s="33"/>
      <c r="B42" s="33"/>
      <c r="C42" s="33"/>
      <c r="D42" s="33"/>
      <c r="E42" s="33"/>
      <c r="F42" s="33"/>
      <c r="G42" s="33"/>
      <c r="H42" s="33"/>
      <c r="I42" s="33"/>
    </row>
    <row r="43" spans="1:9" ht="19.5" customHeight="1" x14ac:dyDescent="0.2">
      <c r="A43" s="32"/>
      <c r="B43" s="32"/>
      <c r="C43" s="32"/>
      <c r="D43" s="32"/>
      <c r="E43" s="32"/>
      <c r="F43" s="32"/>
      <c r="G43" s="32"/>
      <c r="H43" s="32"/>
      <c r="I43" s="32"/>
    </row>
    <row r="44" spans="1:9" ht="19.5" customHeight="1" x14ac:dyDescent="0.2">
      <c r="A44" s="33"/>
      <c r="B44" s="33"/>
      <c r="C44" s="33"/>
      <c r="D44" s="33"/>
      <c r="E44" s="33"/>
      <c r="F44" s="33"/>
      <c r="G44" s="33"/>
      <c r="H44" s="33"/>
      <c r="I44" s="33"/>
    </row>
    <row r="45" spans="1:9" ht="19.5" customHeight="1" x14ac:dyDescent="0.2">
      <c r="A45" s="32"/>
      <c r="B45" s="32"/>
      <c r="C45" s="32"/>
      <c r="D45" s="32"/>
      <c r="E45" s="32"/>
      <c r="F45" s="32"/>
      <c r="G45" s="32"/>
      <c r="H45" s="32"/>
      <c r="I45" s="32"/>
    </row>
    <row r="46" spans="1:9" ht="19.5" customHeight="1" x14ac:dyDescent="0.2">
      <c r="A46" s="33"/>
      <c r="B46" s="33"/>
      <c r="C46" s="33"/>
      <c r="D46" s="33"/>
      <c r="E46" s="33"/>
      <c r="F46" s="33"/>
      <c r="G46" s="33"/>
      <c r="H46" s="33"/>
      <c r="I46" s="33"/>
    </row>
    <row r="47" spans="1:9" ht="19.5" customHeight="1" x14ac:dyDescent="0.2">
      <c r="A47" s="32"/>
      <c r="B47" s="32"/>
      <c r="C47" s="32"/>
      <c r="D47" s="32"/>
      <c r="E47" s="32"/>
      <c r="F47" s="32"/>
      <c r="G47" s="32"/>
      <c r="H47" s="32"/>
      <c r="I47" s="32"/>
    </row>
    <row r="48" spans="1:9" ht="19.5" customHeight="1" x14ac:dyDescent="0.2">
      <c r="A48" s="33"/>
      <c r="B48" s="33"/>
      <c r="C48" s="33"/>
      <c r="D48" s="33"/>
      <c r="E48" s="33"/>
      <c r="F48" s="33"/>
      <c r="G48" s="33"/>
      <c r="H48" s="33"/>
      <c r="I48" s="33"/>
    </row>
    <row r="49" spans="1:9" ht="19.5" customHeight="1" x14ac:dyDescent="0.2">
      <c r="A49" s="32"/>
      <c r="B49" s="32"/>
      <c r="C49" s="32"/>
      <c r="D49" s="32"/>
      <c r="E49" s="32"/>
      <c r="F49" s="32"/>
      <c r="G49" s="32"/>
      <c r="H49" s="32"/>
      <c r="I49" s="32"/>
    </row>
    <row r="50" spans="1:9" ht="19.5" customHeight="1" x14ac:dyDescent="0.2">
      <c r="A50" s="33"/>
      <c r="B50" s="33"/>
      <c r="C50" s="33"/>
      <c r="D50" s="33"/>
      <c r="E50" s="33"/>
      <c r="F50" s="33"/>
      <c r="G50" s="33"/>
      <c r="H50" s="33"/>
      <c r="I50" s="33"/>
    </row>
    <row r="51" spans="1:9" ht="19.5" customHeight="1" x14ac:dyDescent="0.2">
      <c r="A51" s="32"/>
      <c r="B51" s="32"/>
      <c r="C51" s="32"/>
      <c r="D51" s="32"/>
      <c r="E51" s="32"/>
      <c r="F51" s="32"/>
      <c r="G51" s="32"/>
      <c r="H51" s="32"/>
      <c r="I51" s="32"/>
    </row>
    <row r="52" spans="1:9" ht="19.5" customHeight="1" x14ac:dyDescent="0.2">
      <c r="A52" s="33"/>
      <c r="B52" s="33"/>
      <c r="C52" s="33"/>
      <c r="D52" s="33"/>
      <c r="E52" s="33"/>
      <c r="F52" s="33"/>
      <c r="G52" s="33"/>
      <c r="H52" s="33"/>
      <c r="I52" s="33"/>
    </row>
    <row r="53" spans="1:9" ht="19.5" customHeight="1" x14ac:dyDescent="0.2">
      <c r="A53" s="32"/>
      <c r="B53" s="32"/>
      <c r="C53" s="32"/>
      <c r="D53" s="32"/>
      <c r="E53" s="32"/>
      <c r="F53" s="32"/>
      <c r="G53" s="32"/>
      <c r="H53" s="32"/>
      <c r="I53" s="32"/>
    </row>
    <row r="54" spans="1:9" ht="19.5" customHeight="1" x14ac:dyDescent="0.2">
      <c r="A54" s="33"/>
      <c r="B54" s="33"/>
      <c r="C54" s="33"/>
      <c r="D54" s="33"/>
      <c r="E54" s="33"/>
      <c r="F54" s="33"/>
      <c r="G54" s="33"/>
      <c r="H54" s="33"/>
      <c r="I54" s="33"/>
    </row>
    <row r="55" spans="1:9" ht="19.5" customHeight="1" x14ac:dyDescent="0.2">
      <c r="A55" s="32"/>
      <c r="B55" s="32"/>
      <c r="C55" s="32"/>
      <c r="D55" s="32"/>
      <c r="E55" s="32"/>
      <c r="F55" s="32"/>
      <c r="G55" s="32"/>
      <c r="H55" s="32"/>
      <c r="I55" s="32"/>
    </row>
    <row r="56" spans="1:9" ht="19.5" customHeight="1" x14ac:dyDescent="0.2">
      <c r="A56" s="33"/>
      <c r="B56" s="33"/>
      <c r="C56" s="33"/>
      <c r="D56" s="33"/>
      <c r="E56" s="33"/>
      <c r="F56" s="33"/>
      <c r="G56" s="33"/>
      <c r="H56" s="33"/>
      <c r="I56" s="33"/>
    </row>
    <row r="57" spans="1:9" ht="19.5" customHeight="1" x14ac:dyDescent="0.2">
      <c r="A57" s="32"/>
      <c r="B57" s="32"/>
      <c r="C57" s="32"/>
      <c r="D57" s="32"/>
      <c r="E57" s="32"/>
      <c r="F57" s="32"/>
      <c r="G57" s="32"/>
      <c r="H57" s="32"/>
      <c r="I57" s="32"/>
    </row>
    <row r="58" spans="1:9" ht="19.5" customHeight="1" x14ac:dyDescent="0.2">
      <c r="A58" s="33"/>
      <c r="B58" s="33"/>
      <c r="C58" s="33"/>
      <c r="D58" s="33"/>
      <c r="E58" s="33"/>
      <c r="F58" s="33"/>
      <c r="G58" s="33"/>
      <c r="H58" s="33"/>
      <c r="I58" s="33"/>
    </row>
    <row r="59" spans="1:9" ht="19.5" customHeight="1" x14ac:dyDescent="0.2">
      <c r="A59" s="32"/>
      <c r="B59" s="32"/>
      <c r="C59" s="32"/>
      <c r="D59" s="32"/>
      <c r="E59" s="32"/>
      <c r="F59" s="32"/>
      <c r="G59" s="32"/>
      <c r="H59" s="32"/>
      <c r="I59" s="32"/>
    </row>
    <row r="60" spans="1:9" ht="19.5" customHeight="1" x14ac:dyDescent="0.2">
      <c r="A60" s="33"/>
      <c r="B60" s="33"/>
      <c r="C60" s="33"/>
      <c r="D60" s="33"/>
      <c r="E60" s="33"/>
      <c r="F60" s="33"/>
      <c r="G60" s="33"/>
      <c r="H60" s="33"/>
      <c r="I60" s="33"/>
    </row>
    <row r="61" spans="1:9" ht="19.5" customHeight="1" x14ac:dyDescent="0.2">
      <c r="A61" s="32"/>
      <c r="B61" s="32"/>
      <c r="C61" s="32"/>
      <c r="D61" s="32"/>
      <c r="E61" s="32"/>
      <c r="F61" s="32"/>
      <c r="G61" s="32"/>
      <c r="H61" s="32"/>
      <c r="I61" s="32"/>
    </row>
    <row r="62" spans="1:9" ht="19.5" customHeight="1" x14ac:dyDescent="0.2">
      <c r="A62" s="33"/>
      <c r="B62" s="33"/>
      <c r="C62" s="33"/>
      <c r="D62" s="33"/>
      <c r="E62" s="33"/>
      <c r="F62" s="33"/>
      <c r="G62" s="33"/>
      <c r="H62" s="33"/>
      <c r="I62" s="33"/>
    </row>
    <row r="63" spans="1:9" ht="19.5" customHeight="1" x14ac:dyDescent="0.2">
      <c r="A63" s="32"/>
      <c r="B63" s="32"/>
      <c r="C63" s="32"/>
      <c r="D63" s="32"/>
      <c r="E63" s="32"/>
      <c r="F63" s="32"/>
      <c r="G63" s="32"/>
      <c r="H63" s="32"/>
      <c r="I63" s="32"/>
    </row>
    <row r="64" spans="1:9" ht="19.5" customHeight="1" x14ac:dyDescent="0.2">
      <c r="A64" s="33"/>
      <c r="B64" s="33"/>
      <c r="C64" s="33"/>
      <c r="D64" s="33"/>
      <c r="E64" s="33"/>
      <c r="F64" s="33"/>
      <c r="G64" s="33"/>
      <c r="H64" s="33"/>
      <c r="I64" s="33"/>
    </row>
    <row r="65" spans="1:9" ht="19.5" customHeight="1" x14ac:dyDescent="0.2">
      <c r="A65" s="32"/>
      <c r="B65" s="32"/>
      <c r="C65" s="32"/>
      <c r="D65" s="32"/>
      <c r="E65" s="32"/>
      <c r="F65" s="32"/>
      <c r="G65" s="32"/>
      <c r="H65" s="32"/>
      <c r="I65" s="32"/>
    </row>
    <row r="66" spans="1:9" ht="19.5" customHeight="1" x14ac:dyDescent="0.2">
      <c r="A66" s="33"/>
      <c r="B66" s="33"/>
      <c r="C66" s="33"/>
      <c r="D66" s="33"/>
      <c r="E66" s="33"/>
      <c r="F66" s="33"/>
      <c r="G66" s="33"/>
      <c r="H66" s="33"/>
      <c r="I66" s="33"/>
    </row>
    <row r="67" spans="1:9" ht="19.5" customHeight="1" x14ac:dyDescent="0.2">
      <c r="A67" s="32"/>
      <c r="B67" s="32"/>
      <c r="C67" s="32"/>
      <c r="D67" s="32"/>
      <c r="E67" s="32"/>
      <c r="F67" s="32"/>
      <c r="G67" s="32"/>
      <c r="H67" s="32"/>
      <c r="I67" s="32"/>
    </row>
    <row r="68" spans="1:9" ht="19.5" customHeight="1" x14ac:dyDescent="0.2">
      <c r="A68" s="33"/>
      <c r="B68" s="33"/>
      <c r="C68" s="33"/>
      <c r="D68" s="33"/>
      <c r="E68" s="33"/>
      <c r="F68" s="33"/>
      <c r="G68" s="33"/>
      <c r="H68" s="33"/>
      <c r="I68" s="33"/>
    </row>
    <row r="69" spans="1:9" ht="19.5" customHeight="1" x14ac:dyDescent="0.2">
      <c r="A69" s="32"/>
      <c r="B69" s="32"/>
      <c r="C69" s="32"/>
      <c r="D69" s="32"/>
      <c r="E69" s="32"/>
      <c r="F69" s="32"/>
      <c r="G69" s="32"/>
      <c r="H69" s="32"/>
      <c r="I69" s="32"/>
    </row>
    <row r="70" spans="1:9" ht="19.5" customHeight="1" x14ac:dyDescent="0.2">
      <c r="A70" s="33"/>
      <c r="B70" s="33"/>
      <c r="C70" s="33"/>
      <c r="D70" s="33"/>
      <c r="E70" s="33"/>
      <c r="F70" s="33"/>
      <c r="G70" s="33"/>
      <c r="H70" s="33"/>
      <c r="I70" s="33"/>
    </row>
    <row r="71" spans="1:9" ht="19.5" customHeight="1" x14ac:dyDescent="0.2">
      <c r="A71" s="32"/>
      <c r="B71" s="32"/>
      <c r="C71" s="32"/>
      <c r="D71" s="32"/>
      <c r="E71" s="32"/>
      <c r="F71" s="32"/>
      <c r="G71" s="32"/>
      <c r="H71" s="32"/>
      <c r="I71" s="32"/>
    </row>
    <row r="72" spans="1:9" ht="19.5" customHeight="1" x14ac:dyDescent="0.2">
      <c r="A72" s="33"/>
      <c r="B72" s="33"/>
      <c r="C72" s="33"/>
      <c r="D72" s="33"/>
      <c r="E72" s="33"/>
      <c r="F72" s="33"/>
      <c r="G72" s="33"/>
      <c r="H72" s="33"/>
      <c r="I72" s="33"/>
    </row>
    <row r="73" spans="1:9" ht="19.5" customHeight="1" x14ac:dyDescent="0.2">
      <c r="A73" s="32"/>
      <c r="B73" s="32"/>
      <c r="C73" s="32"/>
      <c r="D73" s="32"/>
      <c r="E73" s="32"/>
      <c r="F73" s="32"/>
      <c r="G73" s="32"/>
      <c r="H73" s="32"/>
      <c r="I73" s="32"/>
    </row>
    <row r="74" spans="1:9" ht="19.5" customHeight="1" x14ac:dyDescent="0.2">
      <c r="A74" s="33"/>
      <c r="B74" s="33"/>
      <c r="C74" s="33"/>
      <c r="D74" s="33"/>
      <c r="E74" s="33"/>
      <c r="F74" s="33"/>
      <c r="G74" s="33"/>
      <c r="H74" s="33"/>
      <c r="I74" s="33"/>
    </row>
    <row r="75" spans="1:9" ht="19.5" customHeight="1" x14ac:dyDescent="0.2">
      <c r="A75" s="32"/>
      <c r="B75" s="32"/>
      <c r="C75" s="32"/>
      <c r="D75" s="32"/>
      <c r="E75" s="32"/>
      <c r="F75" s="32"/>
      <c r="G75" s="32"/>
      <c r="H75" s="32"/>
      <c r="I75" s="32"/>
    </row>
    <row r="76" spans="1:9" ht="19.5" customHeight="1" x14ac:dyDescent="0.2">
      <c r="A76" s="33"/>
      <c r="B76" s="33"/>
      <c r="C76" s="33"/>
      <c r="D76" s="33"/>
      <c r="E76" s="33"/>
      <c r="F76" s="33"/>
      <c r="G76" s="33"/>
      <c r="H76" s="33"/>
      <c r="I76" s="33"/>
    </row>
    <row r="77" spans="1:9" ht="19.5" customHeight="1" x14ac:dyDescent="0.2">
      <c r="A77" s="32"/>
      <c r="B77" s="32"/>
      <c r="C77" s="32"/>
      <c r="D77" s="32"/>
      <c r="E77" s="32"/>
      <c r="F77" s="32"/>
      <c r="G77" s="32"/>
      <c r="H77" s="32"/>
      <c r="I77" s="32"/>
    </row>
    <row r="78" spans="1:9" ht="19.5" customHeight="1" x14ac:dyDescent="0.2">
      <c r="A78" s="33"/>
      <c r="B78" s="33"/>
      <c r="C78" s="33"/>
      <c r="D78" s="33"/>
      <c r="E78" s="33"/>
      <c r="F78" s="33"/>
      <c r="G78" s="33"/>
      <c r="H78" s="33"/>
      <c r="I78" s="33"/>
    </row>
    <row r="79" spans="1:9" ht="19.5" customHeight="1" x14ac:dyDescent="0.2">
      <c r="A79" s="32"/>
      <c r="B79" s="32"/>
      <c r="C79" s="32"/>
      <c r="D79" s="32"/>
      <c r="E79" s="32"/>
      <c r="F79" s="32"/>
      <c r="G79" s="32"/>
      <c r="H79" s="32"/>
      <c r="I79" s="32"/>
    </row>
    <row r="80" spans="1:9" ht="19.5" customHeight="1" x14ac:dyDescent="0.2">
      <c r="A80" s="33"/>
      <c r="B80" s="33"/>
      <c r="C80" s="33"/>
      <c r="D80" s="33"/>
      <c r="E80" s="33"/>
      <c r="F80" s="33"/>
      <c r="G80" s="33"/>
      <c r="H80" s="33"/>
      <c r="I80" s="33"/>
    </row>
    <row r="81" spans="1:9" ht="19.5" customHeight="1" x14ac:dyDescent="0.2">
      <c r="A81" s="32"/>
      <c r="B81" s="32"/>
      <c r="C81" s="32"/>
      <c r="D81" s="32"/>
      <c r="E81" s="32"/>
      <c r="F81" s="32"/>
      <c r="G81" s="32"/>
      <c r="H81" s="32"/>
      <c r="I81" s="32"/>
    </row>
    <row r="82" spans="1:9" ht="19.5" customHeight="1" x14ac:dyDescent="0.2">
      <c r="A82" s="33"/>
      <c r="B82" s="33"/>
      <c r="C82" s="33"/>
      <c r="D82" s="33"/>
      <c r="E82" s="33"/>
      <c r="F82" s="33"/>
      <c r="G82" s="33"/>
      <c r="H82" s="33"/>
      <c r="I82" s="33"/>
    </row>
    <row r="83" spans="1:9" ht="19.5" customHeight="1" x14ac:dyDescent="0.2">
      <c r="A83" s="32"/>
      <c r="B83" s="32"/>
      <c r="C83" s="32"/>
      <c r="D83" s="32"/>
      <c r="E83" s="32"/>
      <c r="F83" s="32"/>
      <c r="G83" s="32"/>
      <c r="H83" s="32"/>
      <c r="I83" s="32"/>
    </row>
    <row r="84" spans="1:9" ht="19.5" customHeight="1" x14ac:dyDescent="0.2">
      <c r="A84" s="33"/>
      <c r="B84" s="33"/>
      <c r="C84" s="33"/>
      <c r="D84" s="33"/>
      <c r="E84" s="33"/>
      <c r="F84" s="33"/>
      <c r="G84" s="33"/>
      <c r="H84" s="33"/>
      <c r="I84" s="33"/>
    </row>
    <row r="85" spans="1:9" ht="19.5" customHeight="1" x14ac:dyDescent="0.2">
      <c r="A85" s="32"/>
      <c r="B85" s="32"/>
      <c r="C85" s="32"/>
      <c r="D85" s="32"/>
      <c r="E85" s="32"/>
      <c r="F85" s="32"/>
      <c r="G85" s="32"/>
      <c r="H85" s="32"/>
      <c r="I85" s="32"/>
    </row>
    <row r="86" spans="1:9" ht="19.5" customHeight="1" x14ac:dyDescent="0.2">
      <c r="A86" s="33"/>
      <c r="B86" s="33"/>
      <c r="C86" s="33"/>
      <c r="D86" s="33"/>
      <c r="E86" s="33"/>
      <c r="F86" s="33"/>
      <c r="G86" s="33"/>
      <c r="H86" s="33"/>
      <c r="I86" s="33"/>
    </row>
    <row r="87" spans="1:9" ht="19.5" customHeight="1" x14ac:dyDescent="0.2">
      <c r="A87" s="32"/>
      <c r="B87" s="32"/>
      <c r="C87" s="32"/>
      <c r="D87" s="32"/>
      <c r="E87" s="32"/>
      <c r="F87" s="32"/>
      <c r="G87" s="32"/>
      <c r="H87" s="32"/>
      <c r="I87" s="32"/>
    </row>
    <row r="88" spans="1:9" ht="19.5" customHeight="1" x14ac:dyDescent="0.2">
      <c r="A88" s="33"/>
      <c r="B88" s="33"/>
      <c r="C88" s="33"/>
      <c r="D88" s="33"/>
      <c r="E88" s="33"/>
      <c r="F88" s="33"/>
      <c r="G88" s="33"/>
      <c r="H88" s="33"/>
      <c r="I88" s="33"/>
    </row>
    <row r="89" spans="1:9" ht="19.5" customHeight="1" x14ac:dyDescent="0.2">
      <c r="A89" s="32"/>
      <c r="B89" s="32"/>
      <c r="C89" s="32"/>
      <c r="D89" s="32"/>
      <c r="E89" s="32"/>
      <c r="F89" s="32"/>
      <c r="G89" s="32"/>
      <c r="H89" s="32"/>
      <c r="I89" s="32"/>
    </row>
    <row r="90" spans="1:9" ht="19.5" customHeight="1" x14ac:dyDescent="0.2">
      <c r="A90" s="33"/>
      <c r="B90" s="33"/>
      <c r="C90" s="33"/>
      <c r="D90" s="33"/>
      <c r="E90" s="33"/>
      <c r="F90" s="33"/>
      <c r="G90" s="33"/>
      <c r="H90" s="33"/>
      <c r="I90" s="33"/>
    </row>
    <row r="91" spans="1:9" ht="19.5" customHeight="1" x14ac:dyDescent="0.2">
      <c r="A91" s="32"/>
      <c r="B91" s="32"/>
      <c r="C91" s="32"/>
      <c r="D91" s="32"/>
      <c r="E91" s="32"/>
      <c r="F91" s="32"/>
      <c r="G91" s="32"/>
      <c r="H91" s="32"/>
      <c r="I91" s="32"/>
    </row>
    <row r="92" spans="1:9" ht="19.5" customHeight="1" x14ac:dyDescent="0.2">
      <c r="A92" s="33"/>
      <c r="B92" s="33"/>
      <c r="C92" s="33"/>
      <c r="D92" s="33"/>
      <c r="E92" s="33"/>
      <c r="F92" s="33"/>
      <c r="G92" s="33"/>
      <c r="H92" s="33"/>
      <c r="I92" s="33"/>
    </row>
    <row r="93" spans="1:9" ht="19.5" customHeight="1" x14ac:dyDescent="0.2">
      <c r="A93" s="32"/>
      <c r="B93" s="32"/>
      <c r="C93" s="32"/>
      <c r="D93" s="32"/>
      <c r="E93" s="32"/>
      <c r="F93" s="32"/>
      <c r="G93" s="32"/>
      <c r="H93" s="32"/>
      <c r="I93" s="32"/>
    </row>
    <row r="94" spans="1:9" ht="19.5" customHeight="1" x14ac:dyDescent="0.2">
      <c r="A94" s="33"/>
      <c r="B94" s="33"/>
      <c r="C94" s="33"/>
      <c r="D94" s="33"/>
      <c r="E94" s="33"/>
      <c r="F94" s="33"/>
      <c r="G94" s="33"/>
      <c r="H94" s="33"/>
      <c r="I94" s="33"/>
    </row>
    <row r="95" spans="1:9" ht="19.5" customHeight="1" x14ac:dyDescent="0.2">
      <c r="A95" s="32"/>
      <c r="B95" s="32"/>
      <c r="C95" s="32"/>
      <c r="D95" s="32"/>
      <c r="E95" s="32"/>
      <c r="F95" s="32"/>
      <c r="G95" s="32"/>
      <c r="H95" s="32"/>
      <c r="I95" s="32"/>
    </row>
    <row r="96" spans="1:9" ht="19.5" customHeight="1" x14ac:dyDescent="0.2">
      <c r="A96" s="33"/>
      <c r="B96" s="33"/>
      <c r="C96" s="33"/>
      <c r="D96" s="33"/>
      <c r="E96" s="33"/>
      <c r="F96" s="33"/>
      <c r="G96" s="33"/>
      <c r="H96" s="33"/>
      <c r="I96" s="33"/>
    </row>
    <row r="97" spans="1:9" ht="19.5" customHeight="1" x14ac:dyDescent="0.2">
      <c r="A97" s="32"/>
      <c r="B97" s="32"/>
      <c r="C97" s="32"/>
      <c r="D97" s="32"/>
      <c r="E97" s="32"/>
      <c r="F97" s="32"/>
      <c r="G97" s="32"/>
      <c r="H97" s="32"/>
      <c r="I97" s="32"/>
    </row>
    <row r="98" spans="1:9" ht="19.5" customHeight="1" x14ac:dyDescent="0.2">
      <c r="A98" s="33"/>
      <c r="B98" s="33"/>
      <c r="C98" s="33"/>
      <c r="D98" s="33"/>
      <c r="E98" s="33"/>
      <c r="F98" s="33"/>
      <c r="G98" s="33"/>
      <c r="H98" s="33"/>
      <c r="I98" s="33"/>
    </row>
    <row r="99" spans="1:9" ht="19.5" customHeight="1" x14ac:dyDescent="0.2">
      <c r="A99" s="32"/>
      <c r="B99" s="32"/>
      <c r="C99" s="32"/>
      <c r="D99" s="32"/>
      <c r="E99" s="32"/>
      <c r="F99" s="32"/>
      <c r="G99" s="32"/>
      <c r="H99" s="32"/>
      <c r="I99" s="32"/>
    </row>
    <row r="100" spans="1:9" ht="19.5" customHeight="1" x14ac:dyDescent="0.2">
      <c r="A100" s="33"/>
      <c r="B100" s="33"/>
      <c r="C100" s="33"/>
      <c r="D100" s="33"/>
      <c r="E100" s="33"/>
      <c r="F100" s="33"/>
      <c r="G100" s="33"/>
      <c r="H100" s="33"/>
      <c r="I100" s="33"/>
    </row>
    <row r="101" spans="1:9" ht="19.5" customHeight="1" x14ac:dyDescent="0.2">
      <c r="A101" s="32"/>
      <c r="B101" s="32"/>
      <c r="C101" s="32"/>
      <c r="D101" s="32"/>
      <c r="E101" s="32"/>
      <c r="F101" s="32"/>
      <c r="G101" s="32"/>
      <c r="H101" s="32"/>
      <c r="I101" s="32"/>
    </row>
    <row r="102" spans="1:9" ht="19.5" customHeight="1" x14ac:dyDescent="0.2">
      <c r="A102" s="33"/>
      <c r="B102" s="33"/>
      <c r="C102" s="33"/>
      <c r="D102" s="33"/>
      <c r="E102" s="33"/>
      <c r="F102" s="33"/>
      <c r="G102" s="33"/>
      <c r="H102" s="33"/>
      <c r="I102" s="33"/>
    </row>
  </sheetData>
  <mergeCells count="1">
    <mergeCell ref="A1:I1"/>
  </mergeCells>
  <dataValidations count="2">
    <dataValidation type="list" allowBlank="1" sqref="B3:B103" xr:uid="{00000000-0002-0000-0200-000000000000}">
      <formula1>"System Prompt,User Prompt"</formula1>
      <formula2>0</formula2>
    </dataValidation>
    <dataValidation type="list" allowBlank="1" sqref="I3:I103" xr:uid="{00000000-0002-0000-0200-000001000000}">
      <formula1>"Active,Retired,Draft"</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showGridLines="0" zoomScaleNormal="100" workbookViewId="0">
      <selection activeCell="A20" sqref="A20:J20"/>
    </sheetView>
  </sheetViews>
  <sheetFormatPr baseColWidth="10" defaultColWidth="8.6640625" defaultRowHeight="15" customHeight="1" x14ac:dyDescent="0.2"/>
  <cols>
    <col min="1" max="1" width="22" customWidth="1"/>
    <col min="2" max="3" width="14" customWidth="1"/>
    <col min="4" max="4" width="16" customWidth="1"/>
    <col min="5" max="6" width="14" customWidth="1"/>
    <col min="7" max="8" width="16" customWidth="1"/>
    <col min="9" max="9" width="14" customWidth="1"/>
    <col min="10" max="10" width="30" customWidth="1"/>
  </cols>
  <sheetData>
    <row r="1" spans="1:10" ht="27.75" customHeight="1" x14ac:dyDescent="0.2">
      <c r="A1" s="66" t="s">
        <v>277</v>
      </c>
      <c r="B1" s="1"/>
      <c r="C1" s="1"/>
      <c r="D1" s="1"/>
      <c r="E1" s="1"/>
      <c r="F1" s="1"/>
      <c r="G1" s="1"/>
      <c r="H1" s="1"/>
      <c r="I1" s="1"/>
      <c r="J1" s="1"/>
    </row>
    <row r="2" spans="1:10" ht="18" customHeight="1" x14ac:dyDescent="0.2">
      <c r="A2" s="67" t="s">
        <v>278</v>
      </c>
      <c r="B2" s="51"/>
      <c r="C2" s="51"/>
      <c r="D2" s="51"/>
      <c r="E2" s="51"/>
      <c r="F2" s="51"/>
      <c r="G2" s="51"/>
      <c r="H2" s="51"/>
      <c r="I2" s="51"/>
      <c r="J2" s="51"/>
    </row>
    <row r="3" spans="1:10" ht="36" customHeight="1" x14ac:dyDescent="0.2">
      <c r="A3" s="18" t="s">
        <v>58</v>
      </c>
      <c r="B3" s="18" t="s">
        <v>175</v>
      </c>
      <c r="C3" s="18" t="s">
        <v>176</v>
      </c>
      <c r="D3" s="18" t="s">
        <v>177</v>
      </c>
      <c r="E3" s="18" t="s">
        <v>178</v>
      </c>
      <c r="F3" s="18" t="s">
        <v>179</v>
      </c>
      <c r="G3" s="18" t="s">
        <v>180</v>
      </c>
      <c r="H3" s="18" t="s">
        <v>181</v>
      </c>
      <c r="I3" s="18" t="s">
        <v>182</v>
      </c>
      <c r="J3" s="18" t="s">
        <v>183</v>
      </c>
    </row>
    <row r="4" spans="1:10" ht="19.5" customHeight="1" x14ac:dyDescent="0.2">
      <c r="A4" s="34" t="s">
        <v>113</v>
      </c>
      <c r="B4" s="34" t="s">
        <v>116</v>
      </c>
      <c r="C4" s="34" t="s">
        <v>114</v>
      </c>
      <c r="D4" s="34" t="s">
        <v>115</v>
      </c>
      <c r="E4" s="34" t="s">
        <v>184</v>
      </c>
      <c r="F4" s="34" t="s">
        <v>185</v>
      </c>
      <c r="G4" s="34" t="s">
        <v>186</v>
      </c>
      <c r="H4" s="34" t="s">
        <v>119</v>
      </c>
      <c r="I4" s="34" t="s">
        <v>133</v>
      </c>
      <c r="J4" s="34" t="s">
        <v>187</v>
      </c>
    </row>
    <row r="5" spans="1:10" ht="19.5" customHeight="1" x14ac:dyDescent="0.2">
      <c r="A5" s="34" t="s">
        <v>188</v>
      </c>
      <c r="B5" s="34" t="s">
        <v>116</v>
      </c>
      <c r="C5" s="34" t="s">
        <v>114</v>
      </c>
      <c r="D5" s="34" t="s">
        <v>115</v>
      </c>
      <c r="E5" s="34" t="s">
        <v>184</v>
      </c>
      <c r="F5" s="34" t="s">
        <v>189</v>
      </c>
      <c r="G5" s="34" t="s">
        <v>190</v>
      </c>
      <c r="H5" s="34" t="s">
        <v>119</v>
      </c>
      <c r="I5" s="34" t="s">
        <v>133</v>
      </c>
      <c r="J5" s="34" t="s">
        <v>191</v>
      </c>
    </row>
    <row r="6" spans="1:10" ht="19.5" customHeight="1" x14ac:dyDescent="0.2">
      <c r="A6" s="34" t="s">
        <v>192</v>
      </c>
      <c r="B6" s="34" t="s">
        <v>116</v>
      </c>
      <c r="C6" s="34" t="s">
        <v>114</v>
      </c>
      <c r="D6" s="34" t="s">
        <v>115</v>
      </c>
      <c r="E6" s="34" t="s">
        <v>193</v>
      </c>
      <c r="F6" s="34" t="s">
        <v>194</v>
      </c>
      <c r="G6" s="34" t="s">
        <v>195</v>
      </c>
      <c r="H6" s="34" t="s">
        <v>119</v>
      </c>
      <c r="I6" s="34" t="s">
        <v>133</v>
      </c>
      <c r="J6" s="34" t="s">
        <v>196</v>
      </c>
    </row>
    <row r="7" spans="1:10" ht="19.5" customHeight="1" x14ac:dyDescent="0.2">
      <c r="A7" s="35" t="s">
        <v>197</v>
      </c>
      <c r="B7" s="35" t="s">
        <v>198</v>
      </c>
      <c r="C7" s="35" t="s">
        <v>114</v>
      </c>
      <c r="D7" s="35" t="s">
        <v>115</v>
      </c>
      <c r="E7" s="35" t="s">
        <v>193</v>
      </c>
      <c r="F7" s="35" t="s">
        <v>199</v>
      </c>
      <c r="G7" s="35" t="s">
        <v>194</v>
      </c>
      <c r="H7" s="35" t="s">
        <v>119</v>
      </c>
      <c r="I7" s="35" t="s">
        <v>133</v>
      </c>
      <c r="J7" s="35" t="s">
        <v>200</v>
      </c>
    </row>
    <row r="8" spans="1:10" ht="19.5" customHeight="1" x14ac:dyDescent="0.2">
      <c r="A8" s="35" t="s">
        <v>201</v>
      </c>
      <c r="B8" s="35" t="s">
        <v>198</v>
      </c>
      <c r="C8" s="35" t="s">
        <v>114</v>
      </c>
      <c r="D8" s="35" t="s">
        <v>115</v>
      </c>
      <c r="E8" s="35" t="s">
        <v>193</v>
      </c>
      <c r="F8" s="35" t="s">
        <v>202</v>
      </c>
      <c r="G8" s="35" t="s">
        <v>203</v>
      </c>
      <c r="H8" s="35" t="s">
        <v>119</v>
      </c>
      <c r="I8" s="35" t="s">
        <v>133</v>
      </c>
      <c r="J8" s="35" t="s">
        <v>204</v>
      </c>
    </row>
    <row r="9" spans="1:10" ht="19.5" customHeight="1" x14ac:dyDescent="0.2">
      <c r="A9" s="36" t="s">
        <v>205</v>
      </c>
      <c r="B9" s="36" t="s">
        <v>206</v>
      </c>
      <c r="C9" s="36" t="s">
        <v>114</v>
      </c>
      <c r="D9" s="36" t="s">
        <v>115</v>
      </c>
      <c r="E9" s="36" t="s">
        <v>207</v>
      </c>
      <c r="F9" s="36" t="s">
        <v>208</v>
      </c>
      <c r="G9" s="36" t="s">
        <v>209</v>
      </c>
      <c r="H9" s="36" t="s">
        <v>119</v>
      </c>
      <c r="I9" s="36" t="s">
        <v>133</v>
      </c>
      <c r="J9" s="36" t="s">
        <v>210</v>
      </c>
    </row>
    <row r="10" spans="1:10" ht="19.5" customHeight="1" x14ac:dyDescent="0.2">
      <c r="A10" s="36" t="s">
        <v>211</v>
      </c>
      <c r="B10" s="36" t="s">
        <v>206</v>
      </c>
      <c r="C10" s="36" t="s">
        <v>114</v>
      </c>
      <c r="D10" s="36" t="s">
        <v>115</v>
      </c>
      <c r="E10" s="36" t="s">
        <v>212</v>
      </c>
      <c r="F10" s="36" t="s">
        <v>203</v>
      </c>
      <c r="G10" s="36" t="s">
        <v>213</v>
      </c>
      <c r="H10" s="36" t="s">
        <v>119</v>
      </c>
      <c r="I10" s="36" t="s">
        <v>133</v>
      </c>
      <c r="J10" s="36" t="s">
        <v>214</v>
      </c>
    </row>
    <row r="11" spans="1:10" ht="19.5" customHeight="1" x14ac:dyDescent="0.2">
      <c r="A11" s="37" t="s">
        <v>215</v>
      </c>
      <c r="B11" s="37" t="s">
        <v>216</v>
      </c>
      <c r="C11" s="37" t="s">
        <v>114</v>
      </c>
      <c r="D11" s="37" t="s">
        <v>115</v>
      </c>
      <c r="E11" s="37" t="s">
        <v>217</v>
      </c>
      <c r="F11" s="37" t="s">
        <v>208</v>
      </c>
      <c r="G11" s="37" t="s">
        <v>218</v>
      </c>
      <c r="H11" s="37" t="s">
        <v>119</v>
      </c>
      <c r="I11" s="37" t="s">
        <v>133</v>
      </c>
      <c r="J11" s="37" t="s">
        <v>219</v>
      </c>
    </row>
    <row r="12" spans="1:10" ht="19.5" customHeight="1" x14ac:dyDescent="0.2">
      <c r="A12" s="38" t="s">
        <v>220</v>
      </c>
      <c r="B12" s="38" t="s">
        <v>221</v>
      </c>
      <c r="C12" s="38" t="s">
        <v>222</v>
      </c>
      <c r="D12" s="38" t="s">
        <v>223</v>
      </c>
      <c r="E12" s="38" t="s">
        <v>184</v>
      </c>
      <c r="F12" s="38" t="s">
        <v>224</v>
      </c>
      <c r="G12" s="38" t="s">
        <v>224</v>
      </c>
      <c r="H12" s="38" t="s">
        <v>119</v>
      </c>
      <c r="I12" s="38" t="s">
        <v>133</v>
      </c>
      <c r="J12" s="38" t="s">
        <v>225</v>
      </c>
    </row>
    <row r="13" spans="1:10" ht="19.5" customHeight="1" x14ac:dyDescent="0.2">
      <c r="A13" s="38" t="s">
        <v>226</v>
      </c>
      <c r="B13" s="38" t="s">
        <v>221</v>
      </c>
      <c r="C13" s="38" t="s">
        <v>222</v>
      </c>
      <c r="D13" s="38" t="s">
        <v>223</v>
      </c>
      <c r="E13" s="38" t="s">
        <v>184</v>
      </c>
      <c r="F13" s="38" t="s">
        <v>224</v>
      </c>
      <c r="G13" s="38" t="s">
        <v>224</v>
      </c>
      <c r="H13" s="38" t="s">
        <v>119</v>
      </c>
      <c r="I13" s="38" t="s">
        <v>133</v>
      </c>
      <c r="J13" s="38" t="s">
        <v>227</v>
      </c>
    </row>
    <row r="14" spans="1:10" ht="19.5" customHeight="1" x14ac:dyDescent="0.2">
      <c r="A14" s="38" t="s">
        <v>228</v>
      </c>
      <c r="B14" s="38" t="s">
        <v>221</v>
      </c>
      <c r="C14" s="38" t="s">
        <v>222</v>
      </c>
      <c r="D14" s="38" t="s">
        <v>223</v>
      </c>
      <c r="E14" s="38" t="s">
        <v>184</v>
      </c>
      <c r="F14" s="38" t="s">
        <v>224</v>
      </c>
      <c r="G14" s="38" t="s">
        <v>224</v>
      </c>
      <c r="H14" s="38" t="s">
        <v>119</v>
      </c>
      <c r="I14" s="38" t="s">
        <v>133</v>
      </c>
      <c r="J14" s="38" t="s">
        <v>229</v>
      </c>
    </row>
    <row r="15" spans="1:10" ht="19.5" customHeight="1" x14ac:dyDescent="0.2">
      <c r="A15" s="39" t="s">
        <v>230</v>
      </c>
      <c r="B15" s="39" t="s">
        <v>231</v>
      </c>
      <c r="C15" s="39" t="s">
        <v>222</v>
      </c>
      <c r="D15" s="39" t="s">
        <v>223</v>
      </c>
      <c r="E15" s="39" t="s">
        <v>217</v>
      </c>
      <c r="F15" s="39" t="s">
        <v>224</v>
      </c>
      <c r="G15" s="39" t="s">
        <v>224</v>
      </c>
      <c r="H15" s="39" t="s">
        <v>119</v>
      </c>
      <c r="I15" s="39" t="s">
        <v>133</v>
      </c>
      <c r="J15" s="39" t="s">
        <v>232</v>
      </c>
    </row>
    <row r="16" spans="1:10" ht="19.5" customHeight="1" x14ac:dyDescent="0.2">
      <c r="A16" s="40" t="s">
        <v>233</v>
      </c>
      <c r="B16" s="40" t="s">
        <v>234</v>
      </c>
      <c r="C16" s="40" t="s">
        <v>222</v>
      </c>
      <c r="D16" s="40" t="s">
        <v>223</v>
      </c>
      <c r="E16" s="40" t="s">
        <v>235</v>
      </c>
      <c r="F16" s="40" t="s">
        <v>224</v>
      </c>
      <c r="G16" s="40" t="s">
        <v>224</v>
      </c>
      <c r="H16" s="40" t="s">
        <v>119</v>
      </c>
      <c r="I16" s="40" t="s">
        <v>133</v>
      </c>
      <c r="J16" s="40" t="s">
        <v>236</v>
      </c>
    </row>
    <row r="17" spans="1:10" ht="19.5" customHeight="1" x14ac:dyDescent="0.2">
      <c r="A17" s="41" t="s">
        <v>237</v>
      </c>
      <c r="B17" s="41" t="s">
        <v>238</v>
      </c>
      <c r="C17" s="41" t="s">
        <v>222</v>
      </c>
      <c r="D17" s="41" t="s">
        <v>223</v>
      </c>
      <c r="E17" s="41" t="s">
        <v>239</v>
      </c>
      <c r="F17" s="41" t="s">
        <v>224</v>
      </c>
      <c r="G17" s="41" t="s">
        <v>224</v>
      </c>
      <c r="H17" s="41" t="s">
        <v>119</v>
      </c>
      <c r="I17" s="41" t="s">
        <v>133</v>
      </c>
      <c r="J17" s="41" t="s">
        <v>240</v>
      </c>
    </row>
    <row r="18" spans="1:10" ht="19.5" customHeight="1" x14ac:dyDescent="0.2">
      <c r="A18" s="42" t="s">
        <v>241</v>
      </c>
      <c r="B18" s="42" t="s">
        <v>242</v>
      </c>
      <c r="C18" s="42" t="s">
        <v>222</v>
      </c>
      <c r="D18" s="42" t="s">
        <v>223</v>
      </c>
      <c r="E18" s="42" t="s">
        <v>243</v>
      </c>
      <c r="F18" s="42" t="s">
        <v>224</v>
      </c>
      <c r="G18" s="42" t="s">
        <v>224</v>
      </c>
      <c r="H18" s="42" t="s">
        <v>119</v>
      </c>
      <c r="I18" s="42" t="s">
        <v>133</v>
      </c>
      <c r="J18" s="42" t="s">
        <v>244</v>
      </c>
    </row>
    <row r="19" spans="1:10" ht="19.5" customHeight="1" x14ac:dyDescent="0.2">
      <c r="A19" s="43" t="s">
        <v>245</v>
      </c>
      <c r="B19" s="43" t="s">
        <v>246</v>
      </c>
      <c r="C19" s="43" t="s">
        <v>222</v>
      </c>
      <c r="D19" s="43" t="s">
        <v>223</v>
      </c>
      <c r="E19" s="43" t="s">
        <v>184</v>
      </c>
      <c r="F19" s="43" t="s">
        <v>224</v>
      </c>
      <c r="G19" s="43" t="s">
        <v>224</v>
      </c>
      <c r="H19" s="43" t="s">
        <v>119</v>
      </c>
      <c r="I19" s="43" t="s">
        <v>133</v>
      </c>
      <c r="J19" s="43" t="s">
        <v>247</v>
      </c>
    </row>
    <row r="20" spans="1:10" ht="30" customHeight="1" x14ac:dyDescent="0.2">
      <c r="A20" s="52" t="s">
        <v>248</v>
      </c>
      <c r="B20" s="52"/>
      <c r="C20" s="52"/>
      <c r="D20" s="52"/>
      <c r="E20" s="52"/>
      <c r="F20" s="52"/>
      <c r="G20" s="52"/>
      <c r="H20" s="52"/>
      <c r="I20" s="52"/>
      <c r="J20" s="52"/>
    </row>
  </sheetData>
  <mergeCells count="3">
    <mergeCell ref="A1:J1"/>
    <mergeCell ref="A2:J2"/>
    <mergeCell ref="A20:J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29"/>
  <sheetViews>
    <sheetView showGridLines="0" topLeftCell="A8" zoomScaleNormal="100" workbookViewId="0">
      <selection activeCell="H20" sqref="H20"/>
    </sheetView>
  </sheetViews>
  <sheetFormatPr baseColWidth="10" defaultColWidth="8.6640625" defaultRowHeight="15" customHeight="1" x14ac:dyDescent="0.2"/>
  <cols>
    <col min="1" max="1" width="3" customWidth="1"/>
    <col min="2" max="2" width="30" customWidth="1"/>
    <col min="3" max="3" width="22" customWidth="1"/>
    <col min="4" max="4" width="3" customWidth="1"/>
  </cols>
  <sheetData>
    <row r="1" spans="2:3" ht="33.75" customHeight="1" x14ac:dyDescent="0.2">
      <c r="B1" s="60" t="s">
        <v>270</v>
      </c>
      <c r="C1" s="53"/>
    </row>
    <row r="2" spans="2:3" ht="18" customHeight="1" x14ac:dyDescent="0.2">
      <c r="B2" s="54" t="s">
        <v>249</v>
      </c>
      <c r="C2" s="54"/>
    </row>
    <row r="4" spans="2:3" ht="21.75" customHeight="1" x14ac:dyDescent="0.2">
      <c r="B4" s="61" t="s">
        <v>272</v>
      </c>
      <c r="C4" s="9"/>
    </row>
    <row r="5" spans="2:3" ht="24" customHeight="1" x14ac:dyDescent="0.2">
      <c r="B5" s="15" t="s">
        <v>250</v>
      </c>
      <c r="C5" s="44">
        <f>COUNTA('Experiment Log'!A4:A54)-COUNTIF('Experiment Log'!A4:A54,"")</f>
        <v>-49</v>
      </c>
    </row>
    <row r="6" spans="2:3" ht="24" customHeight="1" x14ac:dyDescent="0.2">
      <c r="B6" s="15" t="s">
        <v>251</v>
      </c>
      <c r="C6" s="44" t="e">
        <f>SUMPRODUCT(('Experiment Log'!G4:G54&lt;&gt;"")/COUNTIF(IF('Experiment Log'!G4:G54&lt;&gt;"", 'Experiment Log'!G4:G54,"placeholder"),IF('Experiment Log'!G4:G54&lt;&gt;"", 'Experiment Log'!G4:G54,"placeholder")))</f>
        <v>#VALUE!</v>
      </c>
    </row>
    <row r="7" spans="2:3" ht="7.5" customHeight="1" x14ac:dyDescent="0.2"/>
    <row r="8" spans="2:3" ht="21.75" customHeight="1" x14ac:dyDescent="0.2">
      <c r="B8" s="62" t="s">
        <v>273</v>
      </c>
      <c r="C8" s="6"/>
    </row>
    <row r="9" spans="2:3" ht="24" customHeight="1" x14ac:dyDescent="0.2">
      <c r="B9" s="15" t="s">
        <v>252</v>
      </c>
      <c r="C9" s="45">
        <f>IFERROR(SUM('Experiment Log'!AB4:AB54),0)</f>
        <v>0</v>
      </c>
    </row>
    <row r="10" spans="2:3" ht="24" customHeight="1" x14ac:dyDescent="0.2">
      <c r="B10" s="15" t="s">
        <v>253</v>
      </c>
      <c r="C10" s="45">
        <f>IFERROR(AVERAGE(IF('Experiment Log'!AB4:AB54&lt;&gt;"",'Experiment Log'!AB4:AB54)),0)</f>
        <v>0</v>
      </c>
    </row>
    <row r="11" spans="2:3" ht="7.5" customHeight="1" x14ac:dyDescent="0.2"/>
    <row r="12" spans="2:3" ht="21.75" customHeight="1" x14ac:dyDescent="0.2">
      <c r="B12" s="63" t="s">
        <v>274</v>
      </c>
      <c r="C12" s="5"/>
    </row>
    <row r="13" spans="2:3" ht="24" customHeight="1" x14ac:dyDescent="0.2">
      <c r="B13" s="15" t="s">
        <v>254</v>
      </c>
      <c r="C13" s="46">
        <f>IFERROR(SUM('Experiment Log'!Y4:Y54),0)</f>
        <v>0</v>
      </c>
    </row>
    <row r="14" spans="2:3" ht="24" customHeight="1" x14ac:dyDescent="0.2">
      <c r="B14" s="15" t="s">
        <v>255</v>
      </c>
      <c r="C14" s="46">
        <f>IFERROR(SUM('Experiment Log'!Z4:Z54),0)</f>
        <v>507</v>
      </c>
    </row>
    <row r="15" spans="2:3" ht="24" customHeight="1" x14ac:dyDescent="0.2">
      <c r="B15" s="15" t="s">
        <v>256</v>
      </c>
      <c r="C15" s="47">
        <f>IFERROR(SUM('Experiment Log'!AA4:AA54),0)</f>
        <v>0</v>
      </c>
    </row>
    <row r="16" spans="2:3" ht="24" customHeight="1" x14ac:dyDescent="0.2">
      <c r="B16" s="15" t="s">
        <v>257</v>
      </c>
      <c r="C16" s="46">
        <f>IFERROR(AVERAGE(IF('Experiment Log'!AA4:AA54&lt;&gt;"",'Experiment Log'!AA4:AA54)),0)</f>
        <v>0</v>
      </c>
    </row>
    <row r="17" spans="2:3" ht="7.5" customHeight="1" x14ac:dyDescent="0.2"/>
    <row r="18" spans="2:3" ht="21.75" customHeight="1" x14ac:dyDescent="0.2">
      <c r="B18" s="64" t="s">
        <v>275</v>
      </c>
      <c r="C18" s="8"/>
    </row>
    <row r="19" spans="2:3" ht="24" customHeight="1" x14ac:dyDescent="0.2">
      <c r="B19" s="15" t="s">
        <v>258</v>
      </c>
      <c r="C19" s="48">
        <f>IFERROR(AVERAGEIF('Experiment Log'!AH4:AH54,"&gt;0"),0)</f>
        <v>0</v>
      </c>
    </row>
    <row r="20" spans="2:3" ht="24" customHeight="1" x14ac:dyDescent="0.2">
      <c r="B20" s="15" t="s">
        <v>259</v>
      </c>
      <c r="C20" s="49">
        <f>COUNTIF('Experiment Log'!AH4:AH54,"&gt;=4")</f>
        <v>0</v>
      </c>
    </row>
    <row r="21" spans="2:3" ht="24" customHeight="1" x14ac:dyDescent="0.2">
      <c r="B21" s="15" t="s">
        <v>260</v>
      </c>
      <c r="C21" s="49">
        <f>COUNTIF('Experiment Log'!AI4:AI54,"Yes")</f>
        <v>0</v>
      </c>
    </row>
    <row r="22" spans="2:3" ht="24" customHeight="1" x14ac:dyDescent="0.2">
      <c r="B22" s="15" t="s">
        <v>261</v>
      </c>
      <c r="C22" s="49">
        <f>COUNTIF('Experiment Log'!AI4:AI54,"Partial")</f>
        <v>0</v>
      </c>
    </row>
    <row r="23" spans="2:3" ht="7.5" customHeight="1" x14ac:dyDescent="0.2"/>
    <row r="24" spans="2:3" ht="21.75" customHeight="1" x14ac:dyDescent="0.2">
      <c r="B24" s="65" t="s">
        <v>276</v>
      </c>
      <c r="C24" s="4"/>
    </row>
    <row r="25" spans="2:3" ht="24" customHeight="1" x14ac:dyDescent="0.2">
      <c r="B25" s="15" t="s">
        <v>262</v>
      </c>
      <c r="C25" s="50">
        <f>COUNTIF('Experiment Log'!AJ4:AJ54,"Yes")</f>
        <v>0</v>
      </c>
    </row>
    <row r="26" spans="2:3" ht="24" customHeight="1" x14ac:dyDescent="0.2">
      <c r="B26" s="15" t="s">
        <v>263</v>
      </c>
      <c r="C26" s="50">
        <f>COUNTIF('Experiment Log'!AK4:AK54,"&lt;&gt;"&amp;"")-COUNTIF('Experiment Log'!AK4:AK54,"None observed")-COUNTIF('Experiment Log'!AK4:AK54,"")</f>
        <v>-50</v>
      </c>
    </row>
    <row r="27" spans="2:3" ht="24" customHeight="1" x14ac:dyDescent="0.2">
      <c r="B27" s="15" t="s">
        <v>264</v>
      </c>
      <c r="C27" s="50">
        <f>COUNTIF('Experiment Log'!AL4:AL54,"Yes")</f>
        <v>0</v>
      </c>
    </row>
    <row r="28" spans="2:3" ht="7.5" customHeight="1" x14ac:dyDescent="0.2"/>
    <row r="29" spans="2:3" ht="30" customHeight="1" x14ac:dyDescent="0.2">
      <c r="B29" s="59" t="s">
        <v>271</v>
      </c>
      <c r="C29" s="55"/>
    </row>
  </sheetData>
  <mergeCells count="8">
    <mergeCell ref="B18:C18"/>
    <mergeCell ref="B24:C24"/>
    <mergeCell ref="B29:C29"/>
    <mergeCell ref="B1:C1"/>
    <mergeCell ref="B2:C2"/>
    <mergeCell ref="B4:C4"/>
    <mergeCell ref="B8:C8"/>
    <mergeCell ref="B12:C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Experiment Log</vt:lpstr>
      <vt:lpstr>Prompt Library</vt:lpstr>
      <vt:lpstr>Model Reference</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Lauren COETZEE</cp:lastModifiedBy>
  <cp:revision>0</cp:revision>
  <dcterms:created xsi:type="dcterms:W3CDTF">2026-03-19T09:27:42Z</dcterms:created>
  <dcterms:modified xsi:type="dcterms:W3CDTF">2026-03-19T10:52:05Z</dcterms:modified>
  <dc:language>en-US</dc:language>
</cp:coreProperties>
</file>